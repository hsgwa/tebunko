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test\AppData\Local\Temp\tebunko_testdata\"/>
    </mc:Choice>
  </mc:AlternateContent>
  <xr:revisionPtr revIDLastSave="0" documentId="8_{56B5FE6B-AE02-425A-AE4E-185AD5A2B479}" xr6:coauthVersionLast="47" xr6:coauthVersionMax="47" xr10:uidLastSave="{00000000-0000-0000-0000-000000000000}"/>
  <bookViews>
    <workbookView xWindow="-120" yWindow="-120" windowWidth="29040" windowHeight="14685" xr2:uid="{60CA3CDA-059D-4C5C-AAFA-04198A6E10DC}"/>
  </bookViews>
  <sheets>
    <sheet name="文字列" sheetId="1" r:id="rId1"/>
    <sheet name="数値と日付" sheetId="2" r:id="rId2"/>
    <sheet name="数式" sheetId="3" r:id="rId3"/>
    <sheet name="レイアウト" sheetId="4" r:id="rId4"/>
    <sheet name="オブジェクト" sheetId="5" r:id="rId5"/>
  </sheets>
  <definedNames>
    <definedName name="_xlnm._FilterDatabase" localSheetId="3" hidden="1">レイアウト!$A$11:$C$15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2" i="3" l="1"/>
  <c r="C3" i="3"/>
  <c r="C4" i="3"/>
  <c r="C5" i="3"/>
  <c r="C6" i="3"/>
  <c r="C7" i="3"/>
  <c r="C8" i="3"/>
  <c r="C9" i="3"/>
  <c r="C10" i="3"/>
  <c r="C11" i="3"/>
  <c r="C12" i="3"/>
  <c r="C13" i="3"/>
  <c r="C14"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test</author>
  </authors>
  <commentList>
    <comment ref="C2" authorId="0" shapeId="0" xr:uid="{02EDB30E-B5A1-40E4-A74F-00C359BC3DBF}">
      <text>
        <r>
          <rPr>
            <b/>
            <sz val="9"/>
            <color indexed="81"/>
            <rFont val="MS P ゴシック"/>
            <family val="3"/>
            <charset val="128"/>
          </rPr>
          <t>TC10 コメント内のテキスト</t>
        </r>
      </text>
    </comment>
  </commentList>
</comments>
</file>

<file path=xl/sharedStrings.xml><?xml version="1.0" encoding="utf-8"?>
<sst xmlns="http://schemas.openxmlformats.org/spreadsheetml/2006/main" count="552" uniqueCount="539">
  <si>
    <t>ID</t>
  </si>
  <si>
    <t>説明</t>
  </si>
  <si>
    <t>値</t>
  </si>
  <si>
    <t>右隣</t>
  </si>
  <si>
    <t>TC10-01</t>
  </si>
  <si>
    <t>セル内改行</t>
  </si>
  <si>
    <t>1行目
2行目
3行目</t>
  </si>
  <si>
    <t>TC10-01右隣</t>
  </si>
  <si>
    <t>TC10-02</t>
  </si>
  <si>
    <t>コロンを含む</t>
  </si>
  <si>
    <t>URL: https://example.com:8080/path?q=1&amp;r=2</t>
  </si>
  <si>
    <t>TC10-02右隣</t>
  </si>
  <si>
    <t>TC10-03</t>
  </si>
  <si>
    <t>ダブルクォート</t>
  </si>
  <si>
    <t>彼は"こんにちは"と言った</t>
  </si>
  <si>
    <t>TC10-03右隣</t>
  </si>
  <si>
    <t>TC10-04</t>
  </si>
  <si>
    <t>ダブルクォートと改行</t>
  </si>
  <si>
    <t>"引用"
改行後</t>
  </si>
  <si>
    <t>TC10-04右隣</t>
  </si>
  <si>
    <t>TC10-05</t>
  </si>
  <si>
    <t>セル内タブ</t>
  </si>
  <si>
    <t>左	右</t>
  </si>
  <si>
    <t>TC10-05右隣</t>
  </si>
  <si>
    <t>TC10-06</t>
  </si>
  <si>
    <t>前後の半角空白</t>
  </si>
  <si>
    <t xml:space="preserve">   前後に空白   </t>
  </si>
  <si>
    <t>TC10-06右隣</t>
  </si>
  <si>
    <t>TC10-07</t>
  </si>
  <si>
    <t>全角スペース</t>
  </si>
  <si>
    <t>全角　スペース　区切り</t>
  </si>
  <si>
    <t>TC10-07右隣</t>
  </si>
  <si>
    <t>TC10-08</t>
  </si>
  <si>
    <t>正規表現の記号</t>
  </si>
  <si>
    <t>a.b(c)[d]{e}*f+g?h^i$j|k\l</t>
  </si>
  <si>
    <t>TC10-08右隣</t>
  </si>
  <si>
    <t>TC10-09</t>
  </si>
  <si>
    <t>大文字小文字・全角英字</t>
  </si>
  <si>
    <t>ABC abc Ａｂｃ ａｂｃ</t>
  </si>
  <si>
    <t>TC10-09右隣</t>
  </si>
  <si>
    <t>TC10-10</t>
  </si>
  <si>
    <t>CP932外の文字</t>
  </si>
  <si>
    <t>𠮷野家 🍣 한국어 Ümlaut ñ</t>
  </si>
  <si>
    <t>TC10-10右隣</t>
  </si>
  <si>
    <t>TC10-11</t>
  </si>
  <si>
    <t>機種依存文字</t>
  </si>
  <si>
    <t>①②③ ㈱ ㌔ Ⅷ ～ − ∥ ￢</t>
  </si>
  <si>
    <t>TC10-11右隣</t>
  </si>
  <si>
    <t>TC10-12</t>
  </si>
  <si>
    <t>半角カナ</t>
  </si>
  <si>
    <t>ﾊﾝｶｸｶﾀｶﾅ ﾃｽﾄ</t>
  </si>
  <si>
    <t>TC10-12右隣</t>
  </si>
  <si>
    <t>TC10-13</t>
  </si>
  <si>
    <t>先頭ゼロの文字列</t>
  </si>
  <si>
    <t>00123</t>
  </si>
  <si>
    <t>TC10-13右隣</t>
  </si>
  <si>
    <t>TC10-14</t>
  </si>
  <si>
    <t>先頭アポストロフィ</t>
  </si>
  <si>
    <t>=SUM(A1:A3)</t>
  </si>
  <si>
    <t>TC10-14右隣</t>
  </si>
  <si>
    <t>TC10-15</t>
  </si>
  <si>
    <t>HTML風</t>
  </si>
  <si>
    <t>&lt;a href="x"&gt;&amp;amp;&lt;/a&gt;</t>
  </si>
  <si>
    <t>TC10-15右隣</t>
  </si>
  <si>
    <t>TC10-16</t>
  </si>
  <si>
    <t>Windowsパス</t>
  </si>
  <si>
    <t>C:\Users\test\ファイル.txt</t>
  </si>
  <si>
    <t>TC10-16右隣</t>
  </si>
  <si>
    <t>TC10-17</t>
  </si>
  <si>
    <t>UNCパス</t>
  </si>
  <si>
    <t>\\server\share\フォルダ</t>
  </si>
  <si>
    <t>TC10-17右隣</t>
  </si>
  <si>
    <t>TC10-18</t>
  </si>
  <si>
    <t>長い文字列</t>
  </si>
  <si>
    <t>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TC10長文末尾</t>
  </si>
  <si>
    <t>TC10-18右隣</t>
  </si>
  <si>
    <t>TC10-19</t>
  </si>
  <si>
    <t>カンマ・セミコロン</t>
  </si>
  <si>
    <t>a,b;c</t>
  </si>
  <si>
    <t>TC10-19右隣</t>
  </si>
  <si>
    <t>TC10-20</t>
  </si>
  <si>
    <t>CRのみの改行</t>
  </si>
  <si>
    <t>CR_x000D_で改行</t>
  </si>
  <si>
    <t>TC10-20右隣</t>
  </si>
  <si>
    <t>TC10-21</t>
  </si>
  <si>
    <t>メールアドレス</t>
  </si>
  <si>
    <t>test.user+tag@example.co.jp</t>
  </si>
  <si>
    <t>TC10-21右隣</t>
  </si>
  <si>
    <t>TC10-22</t>
  </si>
  <si>
    <t>郵便番号・電話番号</t>
  </si>
  <si>
    <t>〒100-0001 03-1234-5678</t>
  </si>
  <si>
    <t>TC10-22右隣</t>
  </si>
  <si>
    <t>TC10-23</t>
  </si>
  <si>
    <t>英文</t>
  </si>
  <si>
    <t>The quick brown fox jumps over the lazy dog.</t>
  </si>
  <si>
    <t>TC10-23右隣</t>
  </si>
  <si>
    <t xml:space="preserve"> </t>
  </si>
  <si>
    <t>　</t>
  </si>
  <si>
    <t xml:space="preserve">	</t>
  </si>
  <si>
    <t>TC10-99</t>
  </si>
  <si>
    <t>空行のあと</t>
  </si>
  <si>
    <t>最終行</t>
  </si>
  <si>
    <t>書式</t>
  </si>
  <si>
    <t>TC10-N01</t>
  </si>
  <si>
    <t>標準の整数</t>
  </si>
  <si>
    <t>標準</t>
  </si>
  <si>
    <t>TC10-N02</t>
  </si>
  <si>
    <t>桁区切り</t>
  </si>
  <si>
    <t>#,##0</t>
  </si>
  <si>
    <t>TC10-N03</t>
  </si>
  <si>
    <t>円表記</t>
  </si>
  <si>
    <t>#,##0"円"</t>
  </si>
  <si>
    <t>TC10-N04</t>
  </si>
  <si>
    <t>小数2桁</t>
  </si>
  <si>
    <t>0.00</t>
  </si>
  <si>
    <t>TC10-N05</t>
  </si>
  <si>
    <t>百分率</t>
  </si>
  <si>
    <t>0.0%</t>
  </si>
  <si>
    <t>TC10-N06</t>
  </si>
  <si>
    <t>負数を▲表示</t>
  </si>
  <si>
    <t>#,##0;"▲"#,##0</t>
  </si>
  <si>
    <t>TC10-N07</t>
  </si>
  <si>
    <t>指数</t>
  </si>
  <si>
    <t>TC10-N08</t>
  </si>
  <si>
    <t>15桁超の整数</t>
  </si>
  <si>
    <t>TC10-N09</t>
  </si>
  <si>
    <t>分数</t>
  </si>
  <si>
    <t># ?/?</t>
  </si>
  <si>
    <t>TC10-N10</t>
  </si>
  <si>
    <t>日付</t>
  </si>
  <si>
    <t>yyyy/mm/dd</t>
  </si>
  <si>
    <t>TC10-N11</t>
  </si>
  <si>
    <t>和暦</t>
  </si>
  <si>
    <t>[$-ja-JP]ggge"年"m"月"d"日"</t>
  </si>
  <si>
    <t>TC10-N11b</t>
  </si>
  <si>
    <t>和暦(LCID指定)</t>
  </si>
  <si>
    <t>[$-411]ggge"年"m"月"d"日"</t>
  </si>
  <si>
    <t>TC10-N12</t>
  </si>
  <si>
    <t>曜日付き</t>
  </si>
  <si>
    <t>[$-ja-JP]yyyy/m/d(aaa)</t>
  </si>
  <si>
    <t>TC10-N13</t>
  </si>
  <si>
    <t>時刻</t>
  </si>
  <si>
    <t>hh:mm:ss</t>
  </si>
  <si>
    <t>TC10-N14</t>
  </si>
  <si>
    <t>日時</t>
  </si>
  <si>
    <t>yyyy/mm/dd hh:mm</t>
  </si>
  <si>
    <t>TC10-N15</t>
  </si>
  <si>
    <t>経過時間</t>
  </si>
  <si>
    <t>[h]:mm</t>
  </si>
  <si>
    <t>TC10-N16</t>
  </si>
  <si>
    <t>郵便番号書式</t>
  </si>
  <si>
    <t>000-0000</t>
  </si>
  <si>
    <t>TC10-N17</t>
  </si>
  <si>
    <t>真偽値</t>
  </si>
  <si>
    <t>TC10-N18</t>
  </si>
  <si>
    <t>ゼロ</t>
  </si>
  <si>
    <t>TC10-N19</t>
  </si>
  <si>
    <t>ゼロを非表示</t>
  </si>
  <si>
    <t>#,##0;-#,##0;</t>
  </si>
  <si>
    <t>TC10-N20</t>
  </si>
  <si>
    <t>文字列書式の数値</t>
  </si>
  <si>
    <t>12345</t>
  </si>
  <si>
    <t>@</t>
  </si>
  <si>
    <t>TC10-N21 列幅不足</t>
  </si>
  <si>
    <t>結果</t>
  </si>
  <si>
    <t>数式</t>
  </si>
  <si>
    <t>TC10-F01</t>
  </si>
  <si>
    <t>足し算</t>
  </si>
  <si>
    <t>TC10-F02</t>
  </si>
  <si>
    <t>文字列連結</t>
  </si>
  <si>
    <t>TC10-F03</t>
  </si>
  <si>
    <t>0除算</t>
  </si>
  <si>
    <t>TC10-F04</t>
  </si>
  <si>
    <t>NA</t>
  </si>
  <si>
    <t>TC10-F05</t>
  </si>
  <si>
    <t>VLOOKUP</t>
  </si>
  <si>
    <t>TC10-F06</t>
  </si>
  <si>
    <t>空文字</t>
  </si>
  <si>
    <t>TC10-F07</t>
  </si>
  <si>
    <t>繰り返し</t>
  </si>
  <si>
    <t>TC10-F08</t>
  </si>
  <si>
    <t>TEXT関数</t>
  </si>
  <si>
    <t>TC10-F08b</t>
  </si>
  <si>
    <t>TEXT関数(和暦)</t>
  </si>
  <si>
    <t>TC10-F09</t>
  </si>
  <si>
    <t>他シート参照</t>
  </si>
  <si>
    <t>TC10-F10</t>
  </si>
  <si>
    <t>HYPERLINK関数</t>
  </si>
  <si>
    <t>TC10-F11</t>
  </si>
  <si>
    <t>改行を含む結果</t>
  </si>
  <si>
    <t>TC10-F12</t>
  </si>
  <si>
    <t>名前エラー</t>
  </si>
  <si>
    <t>=1+1</t>
  </si>
  <si>
    <t>="連結"&amp;"結果"</t>
  </si>
  <si>
    <t>=1/0</t>
  </si>
  <si>
    <t>=NA()</t>
  </si>
  <si>
    <t>=VLOOKUP("TC10-F01",A:C,2,FALSE)</t>
  </si>
  <si>
    <t>=""</t>
  </si>
  <si>
    <t>=REPT("繰返",3)</t>
  </si>
  <si>
    <t>=TEXT(45383,"yyyy年m月d日")</t>
  </si>
  <si>
    <t>=TEXT(45383,"[$-411]ggge年m月d日")</t>
  </si>
  <si>
    <t>=文字列!C3</t>
  </si>
  <si>
    <t>=HYPERLINK("https://example.com/","HYPERLINK関数の表示")</t>
  </si>
  <si>
    <t>="数式の"&amp;CHAR(10)&amp;"改行"</t>
  </si>
  <si>
    <t>=存在しない関数()</t>
  </si>
  <si>
    <t>TC10-L01</t>
  </si>
  <si>
    <t>左上が空いた表</t>
  </si>
  <si>
    <t>値1</t>
  </si>
  <si>
    <t>TC10-L02</t>
  </si>
  <si>
    <t>間に空セル</t>
  </si>
  <si>
    <t>TC10-L03 先頭が空</t>
  </si>
  <si>
    <t>TC10-L04 結合セルの見出し</t>
  </si>
  <si>
    <t>区分</t>
  </si>
  <si>
    <t>内容</t>
  </si>
  <si>
    <t>備考</t>
  </si>
  <si>
    <t>表示</t>
  </si>
  <si>
    <t>TC10-L05 表示行</t>
  </si>
  <si>
    <t>非表示</t>
  </si>
  <si>
    <t>TC10-L06 非表示行</t>
  </si>
  <si>
    <t>絞込</t>
  </si>
  <si>
    <t>TC10-L07 フィルタで隠れた行</t>
  </si>
  <si>
    <t>TC10-L08 表示行2</t>
  </si>
  <si>
    <t>TC10-L09 非表示列</t>
  </si>
  <si>
    <t>列001</t>
  </si>
  <si>
    <t>列002</t>
  </si>
  <si>
    <t>列003</t>
  </si>
  <si>
    <t>列004</t>
  </si>
  <si>
    <t>列005</t>
  </si>
  <si>
    <t>列006</t>
  </si>
  <si>
    <t>列007</t>
  </si>
  <si>
    <t>列008</t>
  </si>
  <si>
    <t>列009</t>
  </si>
  <si>
    <t>列010</t>
  </si>
  <si>
    <t>列011</t>
  </si>
  <si>
    <t>列012</t>
  </si>
  <si>
    <t>列013</t>
  </si>
  <si>
    <t>列014</t>
  </si>
  <si>
    <t>列015</t>
  </si>
  <si>
    <t>列016</t>
  </si>
  <si>
    <t>列017</t>
  </si>
  <si>
    <t>列018</t>
  </si>
  <si>
    <t>列019</t>
  </si>
  <si>
    <t>列020</t>
  </si>
  <si>
    <t>列021</t>
  </si>
  <si>
    <t>列022</t>
  </si>
  <si>
    <t>列023</t>
  </si>
  <si>
    <t>列024</t>
  </si>
  <si>
    <t>列025</t>
  </si>
  <si>
    <t>列026</t>
  </si>
  <si>
    <t>列027</t>
  </si>
  <si>
    <t>列028</t>
  </si>
  <si>
    <t>列029</t>
  </si>
  <si>
    <t>列030</t>
  </si>
  <si>
    <t>列031</t>
  </si>
  <si>
    <t>列032</t>
  </si>
  <si>
    <t>列033</t>
  </si>
  <si>
    <t>列034</t>
  </si>
  <si>
    <t>列035</t>
  </si>
  <si>
    <t>列036</t>
  </si>
  <si>
    <t>列037</t>
  </si>
  <si>
    <t>列038</t>
  </si>
  <si>
    <t>列039</t>
  </si>
  <si>
    <t>列040</t>
  </si>
  <si>
    <t>列041</t>
  </si>
  <si>
    <t>列042</t>
  </si>
  <si>
    <t>列043</t>
  </si>
  <si>
    <t>列044</t>
  </si>
  <si>
    <t>列045</t>
  </si>
  <si>
    <t>列046</t>
  </si>
  <si>
    <t>列047</t>
  </si>
  <si>
    <t>列048</t>
  </si>
  <si>
    <t>列049</t>
  </si>
  <si>
    <t>列050</t>
  </si>
  <si>
    <t>列051</t>
  </si>
  <si>
    <t>列052</t>
  </si>
  <si>
    <t>列053</t>
  </si>
  <si>
    <t>列054</t>
  </si>
  <si>
    <t>列055</t>
  </si>
  <si>
    <t>列056</t>
  </si>
  <si>
    <t>列057</t>
  </si>
  <si>
    <t>列058</t>
  </si>
  <si>
    <t>列059</t>
  </si>
  <si>
    <t>列060</t>
  </si>
  <si>
    <t>列061</t>
  </si>
  <si>
    <t>列062</t>
  </si>
  <si>
    <t>列063</t>
  </si>
  <si>
    <t>列064</t>
  </si>
  <si>
    <t>列065</t>
  </si>
  <si>
    <t>列066</t>
  </si>
  <si>
    <t>列067</t>
  </si>
  <si>
    <t>列068</t>
  </si>
  <si>
    <t>列069</t>
  </si>
  <si>
    <t>列070</t>
  </si>
  <si>
    <t>列071</t>
  </si>
  <si>
    <t>列072</t>
  </si>
  <si>
    <t>列073</t>
  </si>
  <si>
    <t>列074</t>
  </si>
  <si>
    <t>列075</t>
  </si>
  <si>
    <t>列076</t>
  </si>
  <si>
    <t>列077</t>
  </si>
  <si>
    <t>列078</t>
  </si>
  <si>
    <t>列079</t>
  </si>
  <si>
    <t>列080</t>
  </si>
  <si>
    <t>列081</t>
  </si>
  <si>
    <t>列082</t>
  </si>
  <si>
    <t>列083</t>
  </si>
  <si>
    <t>列084</t>
  </si>
  <si>
    <t>列085</t>
  </si>
  <si>
    <t>列086</t>
  </si>
  <si>
    <t>列087</t>
  </si>
  <si>
    <t>列088</t>
  </si>
  <si>
    <t>列089</t>
  </si>
  <si>
    <t>列090</t>
  </si>
  <si>
    <t>列091</t>
  </si>
  <si>
    <t>列092</t>
  </si>
  <si>
    <t>列093</t>
  </si>
  <si>
    <t>列094</t>
  </si>
  <si>
    <t>列095</t>
  </si>
  <si>
    <t>列096</t>
  </si>
  <si>
    <t>列097</t>
  </si>
  <si>
    <t>列098</t>
  </si>
  <si>
    <t>列099</t>
  </si>
  <si>
    <t>列100</t>
  </si>
  <si>
    <t>列101</t>
  </si>
  <si>
    <t>列102</t>
  </si>
  <si>
    <t>列103</t>
  </si>
  <si>
    <t>列104</t>
  </si>
  <si>
    <t>列105</t>
  </si>
  <si>
    <t>列106</t>
  </si>
  <si>
    <t>列107</t>
  </si>
  <si>
    <t>列108</t>
  </si>
  <si>
    <t>列109</t>
  </si>
  <si>
    <t>列110</t>
  </si>
  <si>
    <t>列111</t>
  </si>
  <si>
    <t>列112</t>
  </si>
  <si>
    <t>列113</t>
  </si>
  <si>
    <t>列114</t>
  </si>
  <si>
    <t>列115</t>
  </si>
  <si>
    <t>列116</t>
  </si>
  <si>
    <t>列117</t>
  </si>
  <si>
    <t>列118</t>
  </si>
  <si>
    <t>列119</t>
  </si>
  <si>
    <t>列120</t>
  </si>
  <si>
    <t>列121</t>
  </si>
  <si>
    <t>列122</t>
  </si>
  <si>
    <t>列123</t>
  </si>
  <si>
    <t>列124</t>
  </si>
  <si>
    <t>列125</t>
  </si>
  <si>
    <t>列126</t>
  </si>
  <si>
    <t>列127</t>
  </si>
  <si>
    <t>列128</t>
  </si>
  <si>
    <t>列129</t>
  </si>
  <si>
    <t>列130</t>
  </si>
  <si>
    <t>列131</t>
  </si>
  <si>
    <t>列132</t>
  </si>
  <si>
    <t>列133</t>
  </si>
  <si>
    <t>列134</t>
  </si>
  <si>
    <t>列135</t>
  </si>
  <si>
    <t>列136</t>
  </si>
  <si>
    <t>列137</t>
  </si>
  <si>
    <t>列138</t>
  </si>
  <si>
    <t>列139</t>
  </si>
  <si>
    <t>列140</t>
  </si>
  <si>
    <t>列141</t>
  </si>
  <si>
    <t>列142</t>
  </si>
  <si>
    <t>列143</t>
  </si>
  <si>
    <t>列144</t>
  </si>
  <si>
    <t>列145</t>
  </si>
  <si>
    <t>列146</t>
  </si>
  <si>
    <t>列147</t>
  </si>
  <si>
    <t>列148</t>
  </si>
  <si>
    <t>列149</t>
  </si>
  <si>
    <t>列150</t>
  </si>
  <si>
    <t>列151</t>
  </si>
  <si>
    <t>列152</t>
  </si>
  <si>
    <t>列153</t>
  </si>
  <si>
    <t>列154</t>
  </si>
  <si>
    <t>列155</t>
  </si>
  <si>
    <t>列156</t>
  </si>
  <si>
    <t>列157</t>
  </si>
  <si>
    <t>列158</t>
  </si>
  <si>
    <t>列159</t>
  </si>
  <si>
    <t>列160</t>
  </si>
  <si>
    <t>列161</t>
  </si>
  <si>
    <t>列162</t>
  </si>
  <si>
    <t>列163</t>
  </si>
  <si>
    <t>列164</t>
  </si>
  <si>
    <t>列165</t>
  </si>
  <si>
    <t>列166</t>
  </si>
  <si>
    <t>列167</t>
  </si>
  <si>
    <t>列168</t>
  </si>
  <si>
    <t>列169</t>
  </si>
  <si>
    <t>列170</t>
  </si>
  <si>
    <t>列171</t>
  </si>
  <si>
    <t>列172</t>
  </si>
  <si>
    <t>列173</t>
  </si>
  <si>
    <t>列174</t>
  </si>
  <si>
    <t>列175</t>
  </si>
  <si>
    <t>列176</t>
  </si>
  <si>
    <t>列177</t>
  </si>
  <si>
    <t>列178</t>
  </si>
  <si>
    <t>列179</t>
  </si>
  <si>
    <t>列180</t>
  </si>
  <si>
    <t>列181</t>
  </si>
  <si>
    <t>列182</t>
  </si>
  <si>
    <t>列183</t>
  </si>
  <si>
    <t>列184</t>
  </si>
  <si>
    <t>列185</t>
  </si>
  <si>
    <t>列186</t>
  </si>
  <si>
    <t>列187</t>
  </si>
  <si>
    <t>列188</t>
  </si>
  <si>
    <t>列189</t>
  </si>
  <si>
    <t>列190</t>
  </si>
  <si>
    <t>列191</t>
  </si>
  <si>
    <t>列192</t>
  </si>
  <si>
    <t>列193</t>
  </si>
  <si>
    <t>列194</t>
  </si>
  <si>
    <t>列195</t>
  </si>
  <si>
    <t>列196</t>
  </si>
  <si>
    <t>列197</t>
  </si>
  <si>
    <t>列198</t>
  </si>
  <si>
    <t>列199</t>
  </si>
  <si>
    <t>列200</t>
  </si>
  <si>
    <t>列201</t>
  </si>
  <si>
    <t>列202</t>
  </si>
  <si>
    <t>列203</t>
  </si>
  <si>
    <t>列204</t>
  </si>
  <si>
    <t>列205</t>
  </si>
  <si>
    <t>列206</t>
  </si>
  <si>
    <t>列207</t>
  </si>
  <si>
    <t>列208</t>
  </si>
  <si>
    <t>列209</t>
  </si>
  <si>
    <t>列210</t>
  </si>
  <si>
    <t>列211</t>
  </si>
  <si>
    <t>列212</t>
  </si>
  <si>
    <t>列213</t>
  </si>
  <si>
    <t>列214</t>
  </si>
  <si>
    <t>列215</t>
  </si>
  <si>
    <t>列216</t>
  </si>
  <si>
    <t>列217</t>
  </si>
  <si>
    <t>列218</t>
  </si>
  <si>
    <t>列219</t>
  </si>
  <si>
    <t>列220</t>
  </si>
  <si>
    <t>列221</t>
  </si>
  <si>
    <t>列222</t>
  </si>
  <si>
    <t>列223</t>
  </si>
  <si>
    <t>列224</t>
  </si>
  <si>
    <t>列225</t>
  </si>
  <si>
    <t>列226</t>
  </si>
  <si>
    <t>列227</t>
  </si>
  <si>
    <t>列228</t>
  </si>
  <si>
    <t>列229</t>
  </si>
  <si>
    <t>列230</t>
  </si>
  <si>
    <t>列231</t>
  </si>
  <si>
    <t>列232</t>
  </si>
  <si>
    <t>列233</t>
  </si>
  <si>
    <t>列234</t>
  </si>
  <si>
    <t>列235</t>
  </si>
  <si>
    <t>列236</t>
  </si>
  <si>
    <t>列237</t>
  </si>
  <si>
    <t>列238</t>
  </si>
  <si>
    <t>列239</t>
  </si>
  <si>
    <t>列240</t>
  </si>
  <si>
    <t>列241</t>
  </si>
  <si>
    <t>列242</t>
  </si>
  <si>
    <t>列243</t>
  </si>
  <si>
    <t>列244</t>
  </si>
  <si>
    <t>列245</t>
  </si>
  <si>
    <t>列246</t>
  </si>
  <si>
    <t>列247</t>
  </si>
  <si>
    <t>列248</t>
  </si>
  <si>
    <t>列249</t>
  </si>
  <si>
    <t>列250</t>
  </si>
  <si>
    <t>列251</t>
  </si>
  <si>
    <t>列252</t>
  </si>
  <si>
    <t>列253</t>
  </si>
  <si>
    <t>列254</t>
  </si>
  <si>
    <t>列255</t>
  </si>
  <si>
    <t>列256</t>
  </si>
  <si>
    <t>列257</t>
  </si>
  <si>
    <t>列258</t>
  </si>
  <si>
    <t>列259</t>
  </si>
  <si>
    <t>列260</t>
  </si>
  <si>
    <t>列261</t>
  </si>
  <si>
    <t>列262</t>
  </si>
  <si>
    <t>列263</t>
  </si>
  <si>
    <t>列264</t>
  </si>
  <si>
    <t>列265</t>
  </si>
  <si>
    <t>列266</t>
  </si>
  <si>
    <t>列267</t>
  </si>
  <si>
    <t>列268</t>
  </si>
  <si>
    <t>列269</t>
  </si>
  <si>
    <t>列270</t>
  </si>
  <si>
    <t>列271</t>
  </si>
  <si>
    <t>列272</t>
  </si>
  <si>
    <t>列273</t>
  </si>
  <si>
    <t>列274</t>
  </si>
  <si>
    <t>列275</t>
  </si>
  <si>
    <t>列276</t>
  </si>
  <si>
    <t>列277</t>
  </si>
  <si>
    <t>列278</t>
  </si>
  <si>
    <t>列279</t>
  </si>
  <si>
    <t>列280</t>
  </si>
  <si>
    <t>列281</t>
  </si>
  <si>
    <t>列282</t>
  </si>
  <si>
    <t>列283</t>
  </si>
  <si>
    <t>列284</t>
  </si>
  <si>
    <t>列285</t>
  </si>
  <si>
    <t>列286</t>
  </si>
  <si>
    <t>列287</t>
  </si>
  <si>
    <t>列288</t>
  </si>
  <si>
    <t>列289</t>
  </si>
  <si>
    <t>列290</t>
  </si>
  <si>
    <t>列291</t>
  </si>
  <si>
    <t>列292</t>
  </si>
  <si>
    <t>列293</t>
  </si>
  <si>
    <t>列294</t>
  </si>
  <si>
    <t>列295</t>
  </si>
  <si>
    <t>列296</t>
  </si>
  <si>
    <t>列297</t>
  </si>
  <si>
    <t>列298</t>
  </si>
  <si>
    <t>列299</t>
  </si>
  <si>
    <t>TC10-L10 300列目</t>
  </si>
  <si>
    <t>種類</t>
  </si>
  <si>
    <t>セル値</t>
  </si>
  <si>
    <t>TC10-O01</t>
  </si>
  <si>
    <t>コメント付きセル</t>
  </si>
  <si>
    <t>コメントがあるセル</t>
  </si>
  <si>
    <t>TC10-O02</t>
  </si>
  <si>
    <t>テキストボックス</t>
  </si>
  <si>
    <t>右にテキストボックス</t>
  </si>
  <si>
    <t>TC10-O03</t>
  </si>
  <si>
    <t>ハイパーリンク</t>
  </si>
  <si>
    <t>TC10-O04</t>
  </si>
  <si>
    <t>入力規則</t>
  </si>
  <si>
    <t>選択肢A</t>
  </si>
  <si>
    <t>TC10-O05</t>
  </si>
  <si>
    <t>ヘッダー・フッター</t>
  </si>
  <si>
    <t>リンクの表示文字列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</si>
</sst>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79" formatCode="#,##0&quot;円&quot;"/>
    <numFmt numFmtId="180" formatCode="0.0%"/>
    <numFmt numFmtId="181" formatCode="#,##0;&quot;▲&quot;#,##0"/>
    <numFmt numFmtId="182" formatCode="yyyy/mm/dd"/>
    <numFmt numFmtId="183" formatCode="[$-411]yyyy/m/d\(aaa\)"/>
    <numFmt numFmtId="184" formatCode="hh:mm:ss"/>
    <numFmt numFmtId="185" formatCode="yyyy/mm/dd\ hh:mm"/>
    <numFmt numFmtId="186" formatCode="[h]:mm"/>
    <numFmt numFmtId="187" formatCode="000\-0000"/>
    <numFmt numFmtId="188" formatCode="#,##0;\-#,##0;"/>
  </numFmts>
  <fonts count="4">
    <font>
      <sz val="11"/>
      <color theme="1"/>
      <name val="游ゴシック"/>
      <family val="2"/>
      <charset val="128"/>
      <scheme val="minor"/>
    </font>
    <font>
      <u/>
      <sz val="11"/>
      <color theme="10"/>
      <name val="游ゴシック"/>
      <family val="2"/>
      <charset val="128"/>
      <scheme val="minor"/>
    </font>
    <font>
      <b/>
      <sz val="9"/>
      <color indexed="81"/>
      <name val="MS P ゴシック"/>
      <family val="3"/>
      <charset val="128"/>
    </font>
    <font>
      <sz val="6"/>
      <name val="游ゴシック"/>
      <family val="2"/>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21">
    <xf numFmtId="0" fontId="0" fillId="0" borderId="0" xfId="0">
      <alignment vertical="center"/>
    </xf>
    <xf numFmtId="0" fontId="0" fillId="0" borderId="0" xfId="0" applyAlignment="1">
      <alignment vertical="center" wrapText="1"/>
    </xf>
    <xf numFmtId="49" fontId="0" fillId="0" borderId="0" xfId="0" applyNumberFormat="1">
      <alignment vertical="center"/>
    </xf>
    <xf numFmtId="0" fontId="0" fillId="0" borderId="0" xfId="0" quotePrefix="1">
      <alignment vertical="center"/>
    </xf>
    <xf numFmtId="3" fontId="0" fillId="0" borderId="0" xfId="0" applyNumberFormat="1">
      <alignment vertical="center"/>
    </xf>
    <xf numFmtId="179" fontId="0" fillId="0" borderId="0" xfId="0" applyNumberFormat="1">
      <alignment vertical="center"/>
    </xf>
    <xf numFmtId="2" fontId="0" fillId="0" borderId="0" xfId="0" applyNumberFormat="1">
      <alignment vertical="center"/>
    </xf>
    <xf numFmtId="180" fontId="0" fillId="0" borderId="0" xfId="0" applyNumberFormat="1">
      <alignment vertical="center"/>
    </xf>
    <xf numFmtId="181" fontId="0" fillId="0" borderId="0" xfId="0" applyNumberFormat="1">
      <alignment vertical="center"/>
    </xf>
    <xf numFmtId="12" fontId="0" fillId="0" borderId="0" xfId="0" applyNumberFormat="1">
      <alignment vertical="center"/>
    </xf>
    <xf numFmtId="182" fontId="0" fillId="0" borderId="0" xfId="0" applyNumberFormat="1">
      <alignment vertical="center"/>
    </xf>
    <xf numFmtId="58" fontId="0" fillId="0" borderId="0" xfId="0" applyNumberFormat="1">
      <alignment vertical="center"/>
    </xf>
    <xf numFmtId="183" fontId="0" fillId="0" borderId="0" xfId="0" applyNumberFormat="1">
      <alignment vertical="center"/>
    </xf>
    <xf numFmtId="184" fontId="0" fillId="0" borderId="0" xfId="0" applyNumberFormat="1">
      <alignment vertical="center"/>
    </xf>
    <xf numFmtId="185" fontId="0" fillId="0" borderId="0" xfId="0" applyNumberFormat="1">
      <alignment vertical="center"/>
    </xf>
    <xf numFmtId="186" fontId="0" fillId="0" borderId="0" xfId="0" applyNumberFormat="1">
      <alignment vertical="center"/>
    </xf>
    <xf numFmtId="187" fontId="0" fillId="0" borderId="0" xfId="0" applyNumberFormat="1">
      <alignment vertical="center"/>
    </xf>
    <xf numFmtId="188" fontId="0" fillId="0" borderId="0" xfId="0" applyNumberFormat="1">
      <alignment vertical="center"/>
    </xf>
    <xf numFmtId="0" fontId="1" fillId="0" borderId="0" xfId="1">
      <alignment vertical="center"/>
    </xf>
    <xf numFmtId="0" fontId="0" fillId="0" borderId="0" xfId="0">
      <alignment vertical="center"/>
    </xf>
    <xf numFmtId="0" fontId="0" fillId="2" borderId="0" xfId="0" applyFill="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5</xdr:col>
      <xdr:colOff>381000</xdr:colOff>
      <xdr:row>1</xdr:row>
      <xdr:rowOff>15875</xdr:rowOff>
    </xdr:from>
    <xdr:to>
      <xdr:col>9</xdr:col>
      <xdr:colOff>431800</xdr:colOff>
      <xdr:row>3</xdr:row>
      <xdr:rowOff>47625</xdr:rowOff>
    </xdr:to>
    <xdr:sp macro="" textlink="">
      <xdr:nvSpPr>
        <xdr:cNvPr id="2" name="テキスト ボックス 1">
          <a:extLst>
            <a:ext uri="{FF2B5EF4-FFF2-40B4-BE49-F238E27FC236}">
              <a16:creationId xmlns:a16="http://schemas.microsoft.com/office/drawing/2014/main" id="{EAD8616C-1CF5-47E3-B529-603C5EDA8F61}"/>
            </a:ext>
          </a:extLst>
        </xdr:cNvPr>
        <xdr:cNvSpPr txBox="1"/>
      </xdr:nvSpPr>
      <xdr:spPr>
        <a:xfrm>
          <a:off x="3810000" y="254000"/>
          <a:ext cx="2794000" cy="50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kumimoji="1" lang="en-US" altLang="ja-JP" sz="1100"/>
            <a:t>TC10 </a:t>
          </a:r>
          <a:r>
            <a:rPr kumimoji="1" lang="ja-JP" altLang="en-US" sz="1100"/>
            <a:t>テキストボックス内のテキスト</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example.com/TC10-hidden-url"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393B3-2AD5-4145-A6DE-51CAC97849CA}">
  <dimension ref="A1:D29"/>
  <sheetViews>
    <sheetView tabSelected="1" workbookViewId="0"/>
  </sheetViews>
  <sheetFormatPr defaultRowHeight="18.75"/>
  <sheetData>
    <row r="1" spans="1:4">
      <c r="A1" t="s">
        <v>0</v>
      </c>
      <c r="B1" t="s">
        <v>1</v>
      </c>
      <c r="C1" t="s">
        <v>2</v>
      </c>
      <c r="D1" t="s">
        <v>3</v>
      </c>
    </row>
    <row r="2" spans="1:4" ht="56.25">
      <c r="A2" t="s">
        <v>4</v>
      </c>
      <c r="B2" t="s">
        <v>5</v>
      </c>
      <c r="C2" s="1" t="s">
        <v>6</v>
      </c>
      <c r="D2" t="s">
        <v>7</v>
      </c>
    </row>
    <row r="3" spans="1:4">
      <c r="A3" t="s">
        <v>8</v>
      </c>
      <c r="B3" t="s">
        <v>9</v>
      </c>
      <c r="C3" t="s">
        <v>10</v>
      </c>
      <c r="D3" t="s">
        <v>11</v>
      </c>
    </row>
    <row r="4" spans="1:4">
      <c r="A4" t="s">
        <v>12</v>
      </c>
      <c r="B4" t="s">
        <v>13</v>
      </c>
      <c r="C4" t="s">
        <v>14</v>
      </c>
      <c r="D4" t="s">
        <v>15</v>
      </c>
    </row>
    <row r="5" spans="1:4" ht="37.5">
      <c r="A5" t="s">
        <v>16</v>
      </c>
      <c r="B5" t="s">
        <v>17</v>
      </c>
      <c r="C5" s="1" t="s">
        <v>18</v>
      </c>
      <c r="D5" t="s">
        <v>19</v>
      </c>
    </row>
    <row r="6" spans="1:4">
      <c r="A6" t="s">
        <v>20</v>
      </c>
      <c r="B6" t="s">
        <v>21</v>
      </c>
      <c r="C6" t="s">
        <v>22</v>
      </c>
      <c r="D6" t="s">
        <v>23</v>
      </c>
    </row>
    <row r="7" spans="1:4">
      <c r="A7" t="s">
        <v>24</v>
      </c>
      <c r="B7" t="s">
        <v>25</v>
      </c>
      <c r="C7" t="s">
        <v>26</v>
      </c>
      <c r="D7" t="s">
        <v>27</v>
      </c>
    </row>
    <row r="8" spans="1:4">
      <c r="A8" t="s">
        <v>28</v>
      </c>
      <c r="B8" t="s">
        <v>29</v>
      </c>
      <c r="C8" t="s">
        <v>30</v>
      </c>
      <c r="D8" t="s">
        <v>31</v>
      </c>
    </row>
    <row r="9" spans="1:4">
      <c r="A9" t="s">
        <v>32</v>
      </c>
      <c r="B9" t="s">
        <v>33</v>
      </c>
      <c r="C9" t="s">
        <v>34</v>
      </c>
      <c r="D9" t="s">
        <v>35</v>
      </c>
    </row>
    <row r="10" spans="1:4">
      <c r="A10" t="s">
        <v>36</v>
      </c>
      <c r="B10" t="s">
        <v>37</v>
      </c>
      <c r="C10" t="s">
        <v>38</v>
      </c>
      <c r="D10" t="s">
        <v>39</v>
      </c>
    </row>
    <row r="11" spans="1:4">
      <c r="A11" t="s">
        <v>40</v>
      </c>
      <c r="B11" t="s">
        <v>41</v>
      </c>
      <c r="C11" t="s">
        <v>42</v>
      </c>
      <c r="D11" t="s">
        <v>43</v>
      </c>
    </row>
    <row r="12" spans="1:4">
      <c r="A12" t="s">
        <v>44</v>
      </c>
      <c r="B12" t="s">
        <v>45</v>
      </c>
      <c r="C12" t="s">
        <v>46</v>
      </c>
      <c r="D12" t="s">
        <v>47</v>
      </c>
    </row>
    <row r="13" spans="1:4">
      <c r="A13" t="s">
        <v>48</v>
      </c>
      <c r="B13" t="s">
        <v>49</v>
      </c>
      <c r="C13" t="s">
        <v>50</v>
      </c>
      <c r="D13" t="s">
        <v>51</v>
      </c>
    </row>
    <row r="14" spans="1:4">
      <c r="A14" t="s">
        <v>52</v>
      </c>
      <c r="B14" t="s">
        <v>53</v>
      </c>
      <c r="C14" s="2" t="s">
        <v>54</v>
      </c>
      <c r="D14" t="s">
        <v>55</v>
      </c>
    </row>
    <row r="15" spans="1:4">
      <c r="A15" t="s">
        <v>56</v>
      </c>
      <c r="B15" t="s">
        <v>57</v>
      </c>
      <c r="C15" s="3" t="s">
        <v>58</v>
      </c>
      <c r="D15" t="s">
        <v>59</v>
      </c>
    </row>
    <row r="16" spans="1:4">
      <c r="A16" t="s">
        <v>60</v>
      </c>
      <c r="B16" t="s">
        <v>61</v>
      </c>
      <c r="C16" t="s">
        <v>62</v>
      </c>
      <c r="D16" t="s">
        <v>63</v>
      </c>
    </row>
    <row r="17" spans="1:4">
      <c r="A17" t="s">
        <v>64</v>
      </c>
      <c r="B17" t="s">
        <v>65</v>
      </c>
      <c r="C17" t="s">
        <v>66</v>
      </c>
      <c r="D17" t="s">
        <v>67</v>
      </c>
    </row>
    <row r="18" spans="1:4">
      <c r="A18" t="s">
        <v>68</v>
      </c>
      <c r="B18" t="s">
        <v>69</v>
      </c>
      <c r="C18" t="s">
        <v>70</v>
      </c>
      <c r="D18" t="s">
        <v>71</v>
      </c>
    </row>
    <row r="19" spans="1:4">
      <c r="A19" t="s">
        <v>72</v>
      </c>
      <c r="B19" t="s">
        <v>73</v>
      </c>
      <c r="C19" t="s">
        <v>74</v>
      </c>
      <c r="D19" t="s">
        <v>75</v>
      </c>
    </row>
    <row r="20" spans="1:4">
      <c r="A20" t="s">
        <v>76</v>
      </c>
      <c r="B20" t="s">
        <v>77</v>
      </c>
      <c r="C20" t="s">
        <v>78</v>
      </c>
      <c r="D20" t="s">
        <v>79</v>
      </c>
    </row>
    <row r="21" spans="1:4">
      <c r="A21" t="s">
        <v>80</v>
      </c>
      <c r="B21" t="s">
        <v>81</v>
      </c>
      <c r="C21" t="s">
        <v>82</v>
      </c>
      <c r="D21" t="s">
        <v>83</v>
      </c>
    </row>
    <row r="22" spans="1:4">
      <c r="A22" t="s">
        <v>84</v>
      </c>
      <c r="B22" t="s">
        <v>85</v>
      </c>
      <c r="C22" t="s">
        <v>86</v>
      </c>
      <c r="D22" t="s">
        <v>87</v>
      </c>
    </row>
    <row r="23" spans="1:4">
      <c r="A23" t="s">
        <v>88</v>
      </c>
      <c r="B23" t="s">
        <v>89</v>
      </c>
      <c r="C23" t="s">
        <v>90</v>
      </c>
      <c r="D23" t="s">
        <v>91</v>
      </c>
    </row>
    <row r="24" spans="1:4">
      <c r="A24" t="s">
        <v>92</v>
      </c>
      <c r="B24" t="s">
        <v>93</v>
      </c>
      <c r="C24" t="s">
        <v>94</v>
      </c>
      <c r="D24" t="s">
        <v>95</v>
      </c>
    </row>
    <row r="26" spans="1:4">
      <c r="A26" t="s">
        <v>96</v>
      </c>
      <c r="B26" t="s">
        <v>97</v>
      </c>
      <c r="C26" t="s">
        <v>98</v>
      </c>
    </row>
    <row r="29" spans="1:4">
      <c r="A29" t="s">
        <v>99</v>
      </c>
      <c r="B29" t="s">
        <v>100</v>
      </c>
      <c r="C29" t="s">
        <v>101</v>
      </c>
    </row>
  </sheetData>
  <phoneticPr fontId="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6C640-F049-41C9-A088-A99A7C10BC88}">
  <dimension ref="A1:G22"/>
  <sheetViews>
    <sheetView workbookViewId="0"/>
  </sheetViews>
  <sheetFormatPr defaultRowHeight="18.75"/>
  <cols>
    <col min="3" max="3" width="30.625" customWidth="1"/>
    <col min="7" max="7" width="3.625" customWidth="1"/>
  </cols>
  <sheetData>
    <row r="1" spans="1:7">
      <c r="A1" t="s">
        <v>0</v>
      </c>
      <c r="B1" t="s">
        <v>1</v>
      </c>
      <c r="C1" t="s">
        <v>2</v>
      </c>
      <c r="D1" t="s">
        <v>102</v>
      </c>
    </row>
    <row r="2" spans="1:7">
      <c r="A2" t="s">
        <v>103</v>
      </c>
      <c r="B2" t="s">
        <v>104</v>
      </c>
      <c r="C2">
        <v>1234567</v>
      </c>
      <c r="D2" s="2" t="s">
        <v>105</v>
      </c>
      <c r="F2" t="s">
        <v>163</v>
      </c>
      <c r="G2" s="10">
        <v>45383</v>
      </c>
    </row>
    <row r="3" spans="1:7">
      <c r="A3" t="s">
        <v>106</v>
      </c>
      <c r="B3" t="s">
        <v>107</v>
      </c>
      <c r="C3" s="4">
        <v>1234567</v>
      </c>
      <c r="D3" s="2" t="s">
        <v>108</v>
      </c>
    </row>
    <row r="4" spans="1:7">
      <c r="A4" t="s">
        <v>109</v>
      </c>
      <c r="B4" t="s">
        <v>110</v>
      </c>
      <c r="C4" s="5">
        <v>1234567</v>
      </c>
      <c r="D4" s="2" t="s">
        <v>111</v>
      </c>
    </row>
    <row r="5" spans="1:7">
      <c r="A5" t="s">
        <v>112</v>
      </c>
      <c r="B5" t="s">
        <v>113</v>
      </c>
      <c r="C5" s="6">
        <v>3.1415899999999999</v>
      </c>
      <c r="D5" s="2" t="s">
        <v>114</v>
      </c>
    </row>
    <row r="6" spans="1:7">
      <c r="A6" t="s">
        <v>115</v>
      </c>
      <c r="B6" t="s">
        <v>116</v>
      </c>
      <c r="C6" s="7">
        <v>0.125</v>
      </c>
      <c r="D6" s="2" t="s">
        <v>117</v>
      </c>
    </row>
    <row r="7" spans="1:7">
      <c r="A7" t="s">
        <v>118</v>
      </c>
      <c r="B7" t="s">
        <v>119</v>
      </c>
      <c r="C7" s="8">
        <v>-1500</v>
      </c>
      <c r="D7" s="2" t="s">
        <v>120</v>
      </c>
    </row>
    <row r="8" spans="1:7">
      <c r="A8" t="s">
        <v>121</v>
      </c>
      <c r="B8" t="s">
        <v>122</v>
      </c>
      <c r="C8">
        <v>1.23E+20</v>
      </c>
      <c r="D8" s="2" t="s">
        <v>105</v>
      </c>
    </row>
    <row r="9" spans="1:7">
      <c r="A9" t="s">
        <v>123</v>
      </c>
      <c r="B9" t="s">
        <v>124</v>
      </c>
      <c r="C9">
        <v>1.2345678901234569E+19</v>
      </c>
      <c r="D9" s="2" t="s">
        <v>105</v>
      </c>
    </row>
    <row r="10" spans="1:7">
      <c r="A10" t="s">
        <v>125</v>
      </c>
      <c r="B10" t="s">
        <v>126</v>
      </c>
      <c r="C10" s="9">
        <v>0.75</v>
      </c>
      <c r="D10" s="2" t="s">
        <v>127</v>
      </c>
    </row>
    <row r="11" spans="1:7">
      <c r="A11" t="s">
        <v>128</v>
      </c>
      <c r="B11" t="s">
        <v>129</v>
      </c>
      <c r="C11" s="10">
        <v>45383</v>
      </c>
      <c r="D11" s="2" t="s">
        <v>130</v>
      </c>
    </row>
    <row r="12" spans="1:7">
      <c r="A12" t="s">
        <v>131</v>
      </c>
      <c r="B12" t="s">
        <v>132</v>
      </c>
      <c r="C12" s="11">
        <v>45383</v>
      </c>
      <c r="D12" s="2" t="s">
        <v>133</v>
      </c>
    </row>
    <row r="13" spans="1:7">
      <c r="A13" t="s">
        <v>134</v>
      </c>
      <c r="B13" t="s">
        <v>135</v>
      </c>
      <c r="C13" s="11">
        <v>45383</v>
      </c>
      <c r="D13" s="2" t="s">
        <v>136</v>
      </c>
    </row>
    <row r="14" spans="1:7">
      <c r="A14" t="s">
        <v>137</v>
      </c>
      <c r="B14" t="s">
        <v>138</v>
      </c>
      <c r="C14" s="12">
        <v>45383</v>
      </c>
      <c r="D14" s="2" t="s">
        <v>139</v>
      </c>
    </row>
    <row r="15" spans="1:7">
      <c r="A15" t="s">
        <v>140</v>
      </c>
      <c r="B15" t="s">
        <v>141</v>
      </c>
      <c r="C15" s="13">
        <v>0.52425925925925931</v>
      </c>
      <c r="D15" s="2" t="s">
        <v>142</v>
      </c>
    </row>
    <row r="16" spans="1:7">
      <c r="A16" t="s">
        <v>143</v>
      </c>
      <c r="B16" t="s">
        <v>144</v>
      </c>
      <c r="C16" s="14">
        <v>45383.524259259262</v>
      </c>
      <c r="D16" s="2" t="s">
        <v>145</v>
      </c>
    </row>
    <row r="17" spans="1:4">
      <c r="A17" t="s">
        <v>146</v>
      </c>
      <c r="B17" t="s">
        <v>147</v>
      </c>
      <c r="C17" s="15">
        <v>1.5</v>
      </c>
      <c r="D17" s="2" t="s">
        <v>148</v>
      </c>
    </row>
    <row r="18" spans="1:4">
      <c r="A18" t="s">
        <v>149</v>
      </c>
      <c r="B18" t="s">
        <v>150</v>
      </c>
      <c r="C18" s="16">
        <v>1000001</v>
      </c>
      <c r="D18" s="2" t="s">
        <v>151</v>
      </c>
    </row>
    <row r="19" spans="1:4">
      <c r="A19" t="s">
        <v>152</v>
      </c>
      <c r="B19" t="s">
        <v>153</v>
      </c>
      <c r="C19" t="b">
        <v>1</v>
      </c>
      <c r="D19" s="2" t="s">
        <v>105</v>
      </c>
    </row>
    <row r="20" spans="1:4">
      <c r="A20" t="s">
        <v>154</v>
      </c>
      <c r="B20" t="s">
        <v>155</v>
      </c>
      <c r="C20">
        <v>0</v>
      </c>
      <c r="D20" s="2" t="s">
        <v>105</v>
      </c>
    </row>
    <row r="21" spans="1:4">
      <c r="A21" t="s">
        <v>156</v>
      </c>
      <c r="B21" t="s">
        <v>157</v>
      </c>
      <c r="C21" s="17">
        <v>0</v>
      </c>
      <c r="D21" s="2" t="s">
        <v>158</v>
      </c>
    </row>
    <row r="22" spans="1:4">
      <c r="A22" t="s">
        <v>159</v>
      </c>
      <c r="B22" t="s">
        <v>160</v>
      </c>
      <c r="C22" s="2" t="s">
        <v>161</v>
      </c>
      <c r="D22" s="2" t="s">
        <v>162</v>
      </c>
    </row>
  </sheetData>
  <phoneticPr fontId="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D7DD4-5A14-4754-9D55-136CF4A151AA}">
  <dimension ref="A1:D14"/>
  <sheetViews>
    <sheetView workbookViewId="0"/>
  </sheetViews>
  <sheetFormatPr defaultRowHeight="18.75"/>
  <sheetData>
    <row r="1" spans="1:4">
      <c r="A1" t="s">
        <v>0</v>
      </c>
      <c r="B1" t="s">
        <v>1</v>
      </c>
      <c r="C1" t="s">
        <v>164</v>
      </c>
      <c r="D1" t="s">
        <v>165</v>
      </c>
    </row>
    <row r="2" spans="1:4">
      <c r="A2" t="s">
        <v>166</v>
      </c>
      <c r="B2" t="s">
        <v>167</v>
      </c>
      <c r="C2">
        <f>1+1</f>
        <v>2</v>
      </c>
      <c r="D2" s="3" t="s">
        <v>192</v>
      </c>
    </row>
    <row r="3" spans="1:4">
      <c r="A3" t="s">
        <v>168</v>
      </c>
      <c r="B3" t="s">
        <v>169</v>
      </c>
      <c r="C3" t="str">
        <f>"連結"&amp;"結果"</f>
        <v>連結結果</v>
      </c>
      <c r="D3" s="3" t="s">
        <v>193</v>
      </c>
    </row>
    <row r="4" spans="1:4">
      <c r="A4" t="s">
        <v>170</v>
      </c>
      <c r="B4" t="s">
        <v>171</v>
      </c>
      <c r="C4" t="e">
        <f>1/0</f>
        <v>#DIV/0!</v>
      </c>
      <c r="D4" s="3" t="s">
        <v>194</v>
      </c>
    </row>
    <row r="5" spans="1:4">
      <c r="A5" t="s">
        <v>172</v>
      </c>
      <c r="B5" t="s">
        <v>173</v>
      </c>
      <c r="C5" t="e">
        <f>NA()</f>
        <v>#N/A</v>
      </c>
      <c r="D5" s="3" t="s">
        <v>195</v>
      </c>
    </row>
    <row r="6" spans="1:4">
      <c r="A6" t="s">
        <v>174</v>
      </c>
      <c r="B6" t="s">
        <v>175</v>
      </c>
      <c r="C6" t="str">
        <f>VLOOKUP("TC10-F01",A:C,2,FALSE)</f>
        <v>足し算</v>
      </c>
      <c r="D6" s="3" t="s">
        <v>196</v>
      </c>
    </row>
    <row r="7" spans="1:4">
      <c r="A7" t="s">
        <v>176</v>
      </c>
      <c r="B7" t="s">
        <v>177</v>
      </c>
      <c r="C7" t="str">
        <f>""</f>
        <v/>
      </c>
      <c r="D7" s="3" t="s">
        <v>197</v>
      </c>
    </row>
    <row r="8" spans="1:4">
      <c r="A8" t="s">
        <v>178</v>
      </c>
      <c r="B8" t="s">
        <v>179</v>
      </c>
      <c r="C8" t="str">
        <f>REPT("繰返",3)</f>
        <v>繰返繰返繰返</v>
      </c>
      <c r="D8" s="3" t="s">
        <v>198</v>
      </c>
    </row>
    <row r="9" spans="1:4">
      <c r="A9" t="s">
        <v>180</v>
      </c>
      <c r="B9" t="s">
        <v>181</v>
      </c>
      <c r="C9" t="str">
        <f>TEXT(45383,"yyyy年m月d日")</f>
        <v>2024年4月1日</v>
      </c>
      <c r="D9" s="3" t="s">
        <v>199</v>
      </c>
    </row>
    <row r="10" spans="1:4">
      <c r="A10" t="s">
        <v>182</v>
      </c>
      <c r="B10" t="s">
        <v>183</v>
      </c>
      <c r="C10" t="str">
        <f>TEXT(45383,"[$-411]ggge年m月d日")</f>
        <v>令和6年4月1日</v>
      </c>
      <c r="D10" s="3" t="s">
        <v>200</v>
      </c>
    </row>
    <row r="11" spans="1:4">
      <c r="A11" t="s">
        <v>184</v>
      </c>
      <c r="B11" t="s">
        <v>185</v>
      </c>
      <c r="C11" t="str">
        <f>文字列!C3</f>
        <v>URL: https://example.com:8080/path?q=1&amp;r=2</v>
      </c>
      <c r="D11" s="3" t="s">
        <v>201</v>
      </c>
    </row>
    <row r="12" spans="1:4">
      <c r="A12" t="s">
        <v>186</v>
      </c>
      <c r="B12" t="s">
        <v>187</v>
      </c>
      <c r="C12" s="18" t="str">
        <f>HYPERLINK("https://example.com/","HYPERLINK関数の表示")</f>
        <v>HYPERLINK関数の表示</v>
      </c>
      <c r="D12" s="3" t="s">
        <v>202</v>
      </c>
    </row>
    <row r="13" spans="1:4">
      <c r="A13" t="s">
        <v>188</v>
      </c>
      <c r="B13" t="s">
        <v>189</v>
      </c>
      <c r="C13" t="str">
        <f>"数式の"&amp;CHAR(10)&amp;"改行"</f>
        <v>数式の
改行</v>
      </c>
      <c r="D13" s="3" t="s">
        <v>203</v>
      </c>
    </row>
    <row r="14" spans="1:4">
      <c r="A14" t="s">
        <v>190</v>
      </c>
      <c r="B14" t="s">
        <v>191</v>
      </c>
      <c r="C14" t="e">
        <f ca="1">存在しない関数()</f>
        <v>#NAME?</v>
      </c>
      <c r="D14" s="3" t="s">
        <v>204</v>
      </c>
    </row>
  </sheetData>
  <phoneticPr fontId="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6BF23-349C-4665-B087-5170F988A678}">
  <sheetPr filterMode="1"/>
  <dimension ref="A2:KN300"/>
  <sheetViews>
    <sheetView workbookViewId="0"/>
  </sheetViews>
  <sheetFormatPr defaultRowHeight="18.75"/>
  <cols>
    <col min="8" max="8" width="0" hidden="1" customWidth="1"/>
  </cols>
  <sheetData>
    <row r="2" spans="1:8">
      <c r="B2" s="19" t="s">
        <v>211</v>
      </c>
      <c r="C2" s="19"/>
      <c r="D2" s="19"/>
      <c r="E2" s="19"/>
      <c r="F2" s="19"/>
    </row>
    <row r="5" spans="1:8">
      <c r="D5" t="s">
        <v>205</v>
      </c>
      <c r="E5" t="s">
        <v>206</v>
      </c>
      <c r="F5" t="s">
        <v>207</v>
      </c>
    </row>
    <row r="6" spans="1:8">
      <c r="D6" t="s">
        <v>208</v>
      </c>
      <c r="F6" t="s">
        <v>209</v>
      </c>
    </row>
    <row r="7" spans="1:8">
      <c r="F7" t="s">
        <v>210</v>
      </c>
    </row>
    <row r="11" spans="1:8">
      <c r="A11" t="s">
        <v>212</v>
      </c>
      <c r="B11" t="s">
        <v>213</v>
      </c>
      <c r="C11" t="s">
        <v>214</v>
      </c>
    </row>
    <row r="12" spans="1:8">
      <c r="A12" t="s">
        <v>215</v>
      </c>
      <c r="B12" t="s">
        <v>216</v>
      </c>
      <c r="H12" t="s">
        <v>222</v>
      </c>
    </row>
    <row r="13" spans="1:8">
      <c r="A13" t="s">
        <v>217</v>
      </c>
      <c r="B13" t="s">
        <v>218</v>
      </c>
    </row>
    <row r="14" spans="1:8" hidden="1">
      <c r="A14" t="s">
        <v>219</v>
      </c>
      <c r="B14" t="s">
        <v>220</v>
      </c>
    </row>
    <row r="15" spans="1:8">
      <c r="A15" t="s">
        <v>215</v>
      </c>
      <c r="B15" t="s">
        <v>221</v>
      </c>
    </row>
    <row r="18" spans="1:300">
      <c r="A18" t="s">
        <v>96</v>
      </c>
      <c r="B18" t="s">
        <v>97</v>
      </c>
    </row>
    <row r="20" spans="1:300">
      <c r="A20" t="s">
        <v>223</v>
      </c>
      <c r="B20" t="s">
        <v>224</v>
      </c>
      <c r="C20" t="s">
        <v>225</v>
      </c>
      <c r="D20" t="s">
        <v>226</v>
      </c>
      <c r="E20" t="s">
        <v>227</v>
      </c>
      <c r="F20" t="s">
        <v>228</v>
      </c>
      <c r="G20" t="s">
        <v>229</v>
      </c>
      <c r="H20" t="s">
        <v>230</v>
      </c>
      <c r="I20" t="s">
        <v>231</v>
      </c>
      <c r="J20" t="s">
        <v>232</v>
      </c>
      <c r="K20" t="s">
        <v>233</v>
      </c>
      <c r="L20" t="s">
        <v>234</v>
      </c>
      <c r="M20" t="s">
        <v>235</v>
      </c>
      <c r="N20" t="s">
        <v>236</v>
      </c>
      <c r="O20" t="s">
        <v>237</v>
      </c>
      <c r="P20" t="s">
        <v>238</v>
      </c>
      <c r="Q20" t="s">
        <v>239</v>
      </c>
      <c r="R20" t="s">
        <v>240</v>
      </c>
      <c r="S20" t="s">
        <v>241</v>
      </c>
      <c r="T20" t="s">
        <v>242</v>
      </c>
      <c r="U20" t="s">
        <v>243</v>
      </c>
      <c r="V20" t="s">
        <v>244</v>
      </c>
      <c r="W20" t="s">
        <v>245</v>
      </c>
      <c r="X20" t="s">
        <v>246</v>
      </c>
      <c r="Y20" t="s">
        <v>247</v>
      </c>
      <c r="Z20" t="s">
        <v>248</v>
      </c>
      <c r="AA20" t="s">
        <v>249</v>
      </c>
      <c r="AB20" t="s">
        <v>250</v>
      </c>
      <c r="AC20" t="s">
        <v>251</v>
      </c>
      <c r="AD20" t="s">
        <v>252</v>
      </c>
      <c r="AE20" t="s">
        <v>253</v>
      </c>
      <c r="AF20" t="s">
        <v>254</v>
      </c>
      <c r="AG20" t="s">
        <v>255</v>
      </c>
      <c r="AH20" t="s">
        <v>256</v>
      </c>
      <c r="AI20" t="s">
        <v>257</v>
      </c>
      <c r="AJ20" t="s">
        <v>258</v>
      </c>
      <c r="AK20" t="s">
        <v>259</v>
      </c>
      <c r="AL20" t="s">
        <v>260</v>
      </c>
      <c r="AM20" t="s">
        <v>261</v>
      </c>
      <c r="AN20" t="s">
        <v>262</v>
      </c>
      <c r="AO20" t="s">
        <v>263</v>
      </c>
      <c r="AP20" t="s">
        <v>264</v>
      </c>
      <c r="AQ20" t="s">
        <v>265</v>
      </c>
      <c r="AR20" t="s">
        <v>266</v>
      </c>
      <c r="AS20" t="s">
        <v>267</v>
      </c>
      <c r="AT20" t="s">
        <v>268</v>
      </c>
      <c r="AU20" t="s">
        <v>269</v>
      </c>
      <c r="AV20" t="s">
        <v>270</v>
      </c>
      <c r="AW20" t="s">
        <v>271</v>
      </c>
      <c r="AX20" t="s">
        <v>272</v>
      </c>
      <c r="AY20" t="s">
        <v>273</v>
      </c>
      <c r="AZ20" t="s">
        <v>274</v>
      </c>
      <c r="BA20" t="s">
        <v>275</v>
      </c>
      <c r="BB20" t="s">
        <v>276</v>
      </c>
      <c r="BC20" t="s">
        <v>277</v>
      </c>
      <c r="BD20" t="s">
        <v>278</v>
      </c>
      <c r="BE20" t="s">
        <v>279</v>
      </c>
      <c r="BF20" t="s">
        <v>280</v>
      </c>
      <c r="BG20" t="s">
        <v>281</v>
      </c>
      <c r="BH20" t="s">
        <v>282</v>
      </c>
      <c r="BI20" t="s">
        <v>283</v>
      </c>
      <c r="BJ20" t="s">
        <v>284</v>
      </c>
      <c r="BK20" t="s">
        <v>285</v>
      </c>
      <c r="BL20" t="s">
        <v>286</v>
      </c>
      <c r="BM20" t="s">
        <v>287</v>
      </c>
      <c r="BN20" t="s">
        <v>288</v>
      </c>
      <c r="BO20" t="s">
        <v>289</v>
      </c>
      <c r="BP20" t="s">
        <v>290</v>
      </c>
      <c r="BQ20" t="s">
        <v>291</v>
      </c>
      <c r="BR20" t="s">
        <v>292</v>
      </c>
      <c r="BS20" t="s">
        <v>293</v>
      </c>
      <c r="BT20" t="s">
        <v>294</v>
      </c>
      <c r="BU20" t="s">
        <v>295</v>
      </c>
      <c r="BV20" t="s">
        <v>296</v>
      </c>
      <c r="BW20" t="s">
        <v>297</v>
      </c>
      <c r="BX20" t="s">
        <v>298</v>
      </c>
      <c r="BY20" t="s">
        <v>299</v>
      </c>
      <c r="BZ20" t="s">
        <v>300</v>
      </c>
      <c r="CA20" t="s">
        <v>301</v>
      </c>
      <c r="CB20" t="s">
        <v>302</v>
      </c>
      <c r="CC20" t="s">
        <v>303</v>
      </c>
      <c r="CD20" t="s">
        <v>304</v>
      </c>
      <c r="CE20" t="s">
        <v>305</v>
      </c>
      <c r="CF20" t="s">
        <v>306</v>
      </c>
      <c r="CG20" t="s">
        <v>307</v>
      </c>
      <c r="CH20" t="s">
        <v>308</v>
      </c>
      <c r="CI20" t="s">
        <v>309</v>
      </c>
      <c r="CJ20" t="s">
        <v>310</v>
      </c>
      <c r="CK20" t="s">
        <v>311</v>
      </c>
      <c r="CL20" t="s">
        <v>312</v>
      </c>
      <c r="CM20" t="s">
        <v>313</v>
      </c>
      <c r="CN20" t="s">
        <v>314</v>
      </c>
      <c r="CO20" t="s">
        <v>315</v>
      </c>
      <c r="CP20" t="s">
        <v>316</v>
      </c>
      <c r="CQ20" t="s">
        <v>317</v>
      </c>
      <c r="CR20" t="s">
        <v>318</v>
      </c>
      <c r="CS20" t="s">
        <v>319</v>
      </c>
      <c r="CT20" t="s">
        <v>320</v>
      </c>
      <c r="CU20" t="s">
        <v>321</v>
      </c>
      <c r="CV20" t="s">
        <v>322</v>
      </c>
      <c r="CW20" t="s">
        <v>323</v>
      </c>
      <c r="CX20" t="s">
        <v>324</v>
      </c>
      <c r="CY20" t="s">
        <v>325</v>
      </c>
      <c r="CZ20" t="s">
        <v>326</v>
      </c>
      <c r="DA20" t="s">
        <v>327</v>
      </c>
      <c r="DB20" t="s">
        <v>328</v>
      </c>
      <c r="DC20" t="s">
        <v>329</v>
      </c>
      <c r="DD20" t="s">
        <v>330</v>
      </c>
      <c r="DE20" t="s">
        <v>331</v>
      </c>
      <c r="DF20" t="s">
        <v>332</v>
      </c>
      <c r="DG20" t="s">
        <v>333</v>
      </c>
      <c r="DH20" t="s">
        <v>334</v>
      </c>
      <c r="DI20" t="s">
        <v>335</v>
      </c>
      <c r="DJ20" t="s">
        <v>336</v>
      </c>
      <c r="DK20" t="s">
        <v>337</v>
      </c>
      <c r="DL20" t="s">
        <v>338</v>
      </c>
      <c r="DM20" t="s">
        <v>339</v>
      </c>
      <c r="DN20" t="s">
        <v>340</v>
      </c>
      <c r="DO20" t="s">
        <v>341</v>
      </c>
      <c r="DP20" t="s">
        <v>342</v>
      </c>
      <c r="DQ20" t="s">
        <v>343</v>
      </c>
      <c r="DR20" t="s">
        <v>344</v>
      </c>
      <c r="DS20" t="s">
        <v>345</v>
      </c>
      <c r="DT20" t="s">
        <v>346</v>
      </c>
      <c r="DU20" t="s">
        <v>347</v>
      </c>
      <c r="DV20" t="s">
        <v>348</v>
      </c>
      <c r="DW20" t="s">
        <v>349</v>
      </c>
      <c r="DX20" t="s">
        <v>350</v>
      </c>
      <c r="DY20" t="s">
        <v>351</v>
      </c>
      <c r="DZ20" t="s">
        <v>352</v>
      </c>
      <c r="EA20" t="s">
        <v>353</v>
      </c>
      <c r="EB20" t="s">
        <v>354</v>
      </c>
      <c r="EC20" t="s">
        <v>355</v>
      </c>
      <c r="ED20" t="s">
        <v>356</v>
      </c>
      <c r="EE20" t="s">
        <v>357</v>
      </c>
      <c r="EF20" t="s">
        <v>358</v>
      </c>
      <c r="EG20" t="s">
        <v>359</v>
      </c>
      <c r="EH20" t="s">
        <v>360</v>
      </c>
      <c r="EI20" t="s">
        <v>361</v>
      </c>
      <c r="EJ20" t="s">
        <v>362</v>
      </c>
      <c r="EK20" t="s">
        <v>363</v>
      </c>
      <c r="EL20" t="s">
        <v>364</v>
      </c>
      <c r="EM20" t="s">
        <v>365</v>
      </c>
      <c r="EN20" t="s">
        <v>366</v>
      </c>
      <c r="EO20" t="s">
        <v>367</v>
      </c>
      <c r="EP20" t="s">
        <v>368</v>
      </c>
      <c r="EQ20" t="s">
        <v>369</v>
      </c>
      <c r="ER20" t="s">
        <v>370</v>
      </c>
      <c r="ES20" t="s">
        <v>371</v>
      </c>
      <c r="ET20" t="s">
        <v>372</v>
      </c>
      <c r="EU20" t="s">
        <v>373</v>
      </c>
      <c r="EV20" t="s">
        <v>374</v>
      </c>
      <c r="EW20" t="s">
        <v>375</v>
      </c>
      <c r="EX20" t="s">
        <v>376</v>
      </c>
      <c r="EY20" t="s">
        <v>377</v>
      </c>
      <c r="EZ20" t="s">
        <v>378</v>
      </c>
      <c r="FA20" t="s">
        <v>379</v>
      </c>
      <c r="FB20" t="s">
        <v>380</v>
      </c>
      <c r="FC20" t="s">
        <v>381</v>
      </c>
      <c r="FD20" t="s">
        <v>382</v>
      </c>
      <c r="FE20" t="s">
        <v>383</v>
      </c>
      <c r="FF20" t="s">
        <v>384</v>
      </c>
      <c r="FG20" t="s">
        <v>385</v>
      </c>
      <c r="FH20" t="s">
        <v>386</v>
      </c>
      <c r="FI20" t="s">
        <v>387</v>
      </c>
      <c r="FJ20" t="s">
        <v>388</v>
      </c>
      <c r="FK20" t="s">
        <v>389</v>
      </c>
      <c r="FL20" t="s">
        <v>390</v>
      </c>
      <c r="FM20" t="s">
        <v>391</v>
      </c>
      <c r="FN20" t="s">
        <v>392</v>
      </c>
      <c r="FO20" t="s">
        <v>393</v>
      </c>
      <c r="FP20" t="s">
        <v>394</v>
      </c>
      <c r="FQ20" t="s">
        <v>395</v>
      </c>
      <c r="FR20" t="s">
        <v>396</v>
      </c>
      <c r="FS20" t="s">
        <v>397</v>
      </c>
      <c r="FT20" t="s">
        <v>398</v>
      </c>
      <c r="FU20" t="s">
        <v>399</v>
      </c>
      <c r="FV20" t="s">
        <v>400</v>
      </c>
      <c r="FW20" t="s">
        <v>401</v>
      </c>
      <c r="FX20" t="s">
        <v>402</v>
      </c>
      <c r="FY20" t="s">
        <v>403</v>
      </c>
      <c r="FZ20" t="s">
        <v>404</v>
      </c>
      <c r="GA20" t="s">
        <v>405</v>
      </c>
      <c r="GB20" t="s">
        <v>406</v>
      </c>
      <c r="GC20" t="s">
        <v>407</v>
      </c>
      <c r="GD20" t="s">
        <v>408</v>
      </c>
      <c r="GE20" t="s">
        <v>409</v>
      </c>
      <c r="GF20" t="s">
        <v>410</v>
      </c>
      <c r="GG20" t="s">
        <v>411</v>
      </c>
      <c r="GH20" t="s">
        <v>412</v>
      </c>
      <c r="GI20" t="s">
        <v>413</v>
      </c>
      <c r="GJ20" t="s">
        <v>414</v>
      </c>
      <c r="GK20" t="s">
        <v>415</v>
      </c>
      <c r="GL20" t="s">
        <v>416</v>
      </c>
      <c r="GM20" t="s">
        <v>417</v>
      </c>
      <c r="GN20" t="s">
        <v>418</v>
      </c>
      <c r="GO20" t="s">
        <v>419</v>
      </c>
      <c r="GP20" t="s">
        <v>420</v>
      </c>
      <c r="GQ20" t="s">
        <v>421</v>
      </c>
      <c r="GR20" t="s">
        <v>422</v>
      </c>
      <c r="GS20" t="s">
        <v>423</v>
      </c>
      <c r="GT20" t="s">
        <v>424</v>
      </c>
      <c r="GU20" t="s">
        <v>425</v>
      </c>
      <c r="GV20" t="s">
        <v>426</v>
      </c>
      <c r="GW20" t="s">
        <v>427</v>
      </c>
      <c r="GX20" t="s">
        <v>428</v>
      </c>
      <c r="GY20" t="s">
        <v>429</v>
      </c>
      <c r="GZ20" t="s">
        <v>430</v>
      </c>
      <c r="HA20" t="s">
        <v>431</v>
      </c>
      <c r="HB20" t="s">
        <v>432</v>
      </c>
      <c r="HC20" t="s">
        <v>433</v>
      </c>
      <c r="HD20" t="s">
        <v>434</v>
      </c>
      <c r="HE20" t="s">
        <v>435</v>
      </c>
      <c r="HF20" t="s">
        <v>436</v>
      </c>
      <c r="HG20" t="s">
        <v>437</v>
      </c>
      <c r="HH20" t="s">
        <v>438</v>
      </c>
      <c r="HI20" t="s">
        <v>439</v>
      </c>
      <c r="HJ20" t="s">
        <v>440</v>
      </c>
      <c r="HK20" t="s">
        <v>441</v>
      </c>
      <c r="HL20" t="s">
        <v>442</v>
      </c>
      <c r="HM20" t="s">
        <v>443</v>
      </c>
      <c r="HN20" t="s">
        <v>444</v>
      </c>
      <c r="HO20" t="s">
        <v>445</v>
      </c>
      <c r="HP20" t="s">
        <v>446</v>
      </c>
      <c r="HQ20" t="s">
        <v>447</v>
      </c>
      <c r="HR20" t="s">
        <v>448</v>
      </c>
      <c r="HS20" t="s">
        <v>449</v>
      </c>
      <c r="HT20" t="s">
        <v>450</v>
      </c>
      <c r="HU20" t="s">
        <v>451</v>
      </c>
      <c r="HV20" t="s">
        <v>452</v>
      </c>
      <c r="HW20" t="s">
        <v>453</v>
      </c>
      <c r="HX20" t="s">
        <v>454</v>
      </c>
      <c r="HY20" t="s">
        <v>455</v>
      </c>
      <c r="HZ20" t="s">
        <v>456</v>
      </c>
      <c r="IA20" t="s">
        <v>457</v>
      </c>
      <c r="IB20" t="s">
        <v>458</v>
      </c>
      <c r="IC20" t="s">
        <v>459</v>
      </c>
      <c r="ID20" t="s">
        <v>460</v>
      </c>
      <c r="IE20" t="s">
        <v>461</v>
      </c>
      <c r="IF20" t="s">
        <v>462</v>
      </c>
      <c r="IG20" t="s">
        <v>463</v>
      </c>
      <c r="IH20" t="s">
        <v>464</v>
      </c>
      <c r="II20" t="s">
        <v>465</v>
      </c>
      <c r="IJ20" t="s">
        <v>466</v>
      </c>
      <c r="IK20" t="s">
        <v>467</v>
      </c>
      <c r="IL20" t="s">
        <v>468</v>
      </c>
      <c r="IM20" t="s">
        <v>469</v>
      </c>
      <c r="IN20" t="s">
        <v>470</v>
      </c>
      <c r="IO20" t="s">
        <v>471</v>
      </c>
      <c r="IP20" t="s">
        <v>472</v>
      </c>
      <c r="IQ20" t="s">
        <v>473</v>
      </c>
      <c r="IR20" t="s">
        <v>474</v>
      </c>
      <c r="IS20" t="s">
        <v>475</v>
      </c>
      <c r="IT20" t="s">
        <v>476</v>
      </c>
      <c r="IU20" t="s">
        <v>477</v>
      </c>
      <c r="IV20" t="s">
        <v>478</v>
      </c>
      <c r="IW20" t="s">
        <v>479</v>
      </c>
      <c r="IX20" t="s">
        <v>480</v>
      </c>
      <c r="IY20" t="s">
        <v>481</v>
      </c>
      <c r="IZ20" t="s">
        <v>482</v>
      </c>
      <c r="JA20" t="s">
        <v>483</v>
      </c>
      <c r="JB20" t="s">
        <v>484</v>
      </c>
      <c r="JC20" t="s">
        <v>485</v>
      </c>
      <c r="JD20" t="s">
        <v>486</v>
      </c>
      <c r="JE20" t="s">
        <v>487</v>
      </c>
      <c r="JF20" t="s">
        <v>488</v>
      </c>
      <c r="JG20" t="s">
        <v>489</v>
      </c>
      <c r="JH20" t="s">
        <v>490</v>
      </c>
      <c r="JI20" t="s">
        <v>491</v>
      </c>
      <c r="JJ20" t="s">
        <v>492</v>
      </c>
      <c r="JK20" t="s">
        <v>493</v>
      </c>
      <c r="JL20" t="s">
        <v>494</v>
      </c>
      <c r="JM20" t="s">
        <v>495</v>
      </c>
      <c r="JN20" t="s">
        <v>496</v>
      </c>
      <c r="JO20" t="s">
        <v>497</v>
      </c>
      <c r="JP20" t="s">
        <v>498</v>
      </c>
      <c r="JQ20" t="s">
        <v>499</v>
      </c>
      <c r="JR20" t="s">
        <v>500</v>
      </c>
      <c r="JS20" t="s">
        <v>501</v>
      </c>
      <c r="JT20" t="s">
        <v>502</v>
      </c>
      <c r="JU20" t="s">
        <v>503</v>
      </c>
      <c r="JV20" t="s">
        <v>504</v>
      </c>
      <c r="JW20" t="s">
        <v>505</v>
      </c>
      <c r="JX20" t="s">
        <v>506</v>
      </c>
      <c r="JY20" t="s">
        <v>507</v>
      </c>
      <c r="JZ20" t="s">
        <v>508</v>
      </c>
      <c r="KA20" t="s">
        <v>509</v>
      </c>
      <c r="KB20" t="s">
        <v>510</v>
      </c>
      <c r="KC20" t="s">
        <v>511</v>
      </c>
      <c r="KD20" t="s">
        <v>512</v>
      </c>
      <c r="KE20" t="s">
        <v>513</v>
      </c>
      <c r="KF20" t="s">
        <v>514</v>
      </c>
      <c r="KG20" t="s">
        <v>515</v>
      </c>
      <c r="KH20" t="s">
        <v>516</v>
      </c>
      <c r="KI20" t="s">
        <v>517</v>
      </c>
      <c r="KJ20" t="s">
        <v>518</v>
      </c>
      <c r="KK20" t="s">
        <v>519</v>
      </c>
      <c r="KL20" t="s">
        <v>520</v>
      </c>
      <c r="KM20" t="s">
        <v>521</v>
      </c>
      <c r="KN20" t="s">
        <v>522</v>
      </c>
    </row>
    <row r="300" spans="52:52">
      <c r="AZ300" s="20"/>
    </row>
  </sheetData>
  <autoFilter ref="A11:C15" xr:uid="{6FD6BF23-349C-4665-B087-5170F988A678}">
    <filterColumn colId="0">
      <customFilters>
        <customFilter operator="notEqual" val="絞込"/>
      </customFilters>
    </filterColumn>
  </autoFilter>
  <mergeCells count="1">
    <mergeCell ref="B2:F2"/>
  </mergeCells>
  <phoneticPr fontId="3"/>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71B6-6FD8-48F9-AF82-35417E7844F0}">
  <dimension ref="A1:C6"/>
  <sheetViews>
    <sheetView workbookViewId="0"/>
  </sheetViews>
  <sheetFormatPr defaultRowHeight="18.75"/>
  <sheetData>
    <row r="1" spans="1:3">
      <c r="A1" t="s">
        <v>0</v>
      </c>
      <c r="B1" t="s">
        <v>523</v>
      </c>
      <c r="C1" t="s">
        <v>524</v>
      </c>
    </row>
    <row r="2" spans="1:3">
      <c r="A2" t="s">
        <v>525</v>
      </c>
      <c r="B2" t="s">
        <v>526</v>
      </c>
      <c r="C2" t="s">
        <v>527</v>
      </c>
    </row>
    <row r="3" spans="1:3">
      <c r="A3" t="s">
        <v>528</v>
      </c>
      <c r="B3" t="s">
        <v>529</v>
      </c>
      <c r="C3" t="s">
        <v>530</v>
      </c>
    </row>
    <row r="4" spans="1:3">
      <c r="A4" t="s">
        <v>531</v>
      </c>
      <c r="B4" t="s">
        <v>532</v>
      </c>
      <c r="C4" s="18" t="s">
        <v>538</v>
      </c>
    </row>
    <row r="5" spans="1:3">
      <c r="A5" t="s">
        <v>533</v>
      </c>
      <c r="B5" t="s">
        <v>534</v>
      </c>
      <c r="C5" t="s">
        <v>535</v>
      </c>
    </row>
    <row r="6" spans="1:3">
      <c r="A6" t="s">
        <v>536</v>
      </c>
      <c r="B6" t="s">
        <v>537</v>
      </c>
    </row>
  </sheetData>
  <phoneticPr fontId="3"/>
  <dataValidations count="1">
    <dataValidation type="list" allowBlank="1" showInputMessage="1" showErrorMessage="1" sqref="C5" xr:uid="{96EF63F4-43EF-4A16-B530-6741EC8C228D}">
      <formula1>"選択肢A,選択肢B"</formula1>
    </dataValidation>
  </dataValidations>
  <hyperlinks>
    <hyperlink ref="C4" r:id="rId1" xr:uid="{F08B0F76-C65A-4A01-A2AD-8DEE827B6339}"/>
  </hyperlinks>
  <pageMargins left="0.7" right="0.7" top="0.75" bottom="0.75" header="0.3" footer="0.3"/>
  <pageSetup paperSize="9" orientation="portrait" r:id="rId2"/>
  <headerFooter>
    <oddHeader>&amp;CTC10 ヘッダーのテキスト&amp;LTC10-O05 左ヘッダー&amp;RTC10-O05 右ヘッダー</oddHeader>
    <oddFooter>&amp;CTC10-O05 通常フッター&amp;LTC10-O05 左フッター&amp;R&amp;P / &amp;N ページ</oddFooter>
  </headerFooter>
  <drawing r:id="rId3"/>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文字列</vt:lpstr>
      <vt:lpstr>数値と日付</vt:lpstr>
      <vt:lpstr>数式</vt:lpstr>
      <vt:lpstr>レイアウト</vt:lpstr>
      <vt:lpstr>オブジェクト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test</cp:lastModifiedBy>
  <dcterms:created xsi:type="dcterms:W3CDTF">2026-09-30T23:26:15Z</dcterms:created>
  <dcterms:modified xsi:type="dcterms:W3CDTF">2026-09-30T23:26:31Z</dcterms:modified>
</cp:coreProperties>
</file>