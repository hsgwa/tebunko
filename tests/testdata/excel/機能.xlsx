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DFC16BFA-29D7-43CA-97B8-3C7E79F3DC21}" xr6:coauthVersionLast="47" xr6:coauthVersionMax="47" xr10:uidLastSave="{00000000-0000-0000-0000-000000000000}"/>
  <bookViews>
    <workbookView xWindow="3120" yWindow="3120" windowWidth="21600" windowHeight="10515" activeTab="3" xr2:uid="{E2673CA8-6510-461A-8286-EB095ADFE369}"/>
  </bookViews>
  <sheets>
    <sheet name="名前と数式" sheetId="1" r:id="rId1"/>
    <sheet name="アウトライン" sheetId="2" r:id="rId2"/>
    <sheet name="テーブルとピボット" sheetId="3" r:id="rId3"/>
    <sheet name="ピボット" sheetId="4" r:id="rId4"/>
  </sheets>
  <definedNames>
    <definedName name="_xlnm.Print_Area" localSheetId="1">アウトライン!$A$1:$B$8</definedName>
    <definedName name="消費税率">0.1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 a="1"/>
  <c r="C10" i="1" s="1"/>
  <c r="C8" i="1"/>
  <c r="C7" i="1"/>
  <c r="C6" i="1"/>
  <c r="C5" i="1"/>
  <c r="C3" i="1" a="1"/>
  <c r="C3" i="1" s="1"/>
  <c r="C2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<sst xmlns="http://schemas.openxmlformats.org/spreadsheetml/2006/main" count="57" uniqueCount="52">
  <si>
    <t>ID</t>
  </si>
  <si>
    <t>説明</t>
  </si>
  <si>
    <t>結果</t>
  </si>
  <si>
    <t>数式（文字列）</t>
  </si>
  <si>
    <t>TC24-01</t>
  </si>
  <si>
    <t>名前の定義を使う数式</t>
  </si>
  <si>
    <t>TC24-02</t>
  </si>
  <si>
    <t>配列数式</t>
  </si>
  <si>
    <t>TC24-03</t>
  </si>
  <si>
    <t>循環参照</t>
  </si>
  <si>
    <t>TC24-04</t>
  </si>
  <si>
    <t>#REF! エラー</t>
  </si>
  <si>
    <t>TC24-05</t>
  </si>
  <si>
    <t>#VALUE! エラー</t>
  </si>
  <si>
    <t>TC24-06</t>
  </si>
  <si>
    <t>#NUM! エラー</t>
  </si>
  <si>
    <t>TC24-07</t>
  </si>
  <si>
    <t>#NULL! エラー</t>
  </si>
  <si>
    <t>=F1*消費税率</t>
  </si>
  <si>
    <t>=SUM(F1:F2*G1:G2)</t>
  </si>
  <si>
    <t/>
  </si>
  <si>
    <t>=SUM(#REF!)</t>
  </si>
  <si>
    <t>=1+"文字列"</t>
  </si>
  <si>
    <t>=SQRT(-1)</t>
  </si>
  <si>
    <t>=SUM(F1:F2 G1:G2)</t>
  </si>
  <si>
    <t>TC24-08</t>
  </si>
  <si>
    <t>スピル（動的配列）</t>
  </si>
  <si>
    <t>区分</t>
  </si>
  <si>
    <t>内容</t>
  </si>
  <si>
    <t>TC24-10</t>
  </si>
  <si>
    <t>アウトラインの外</t>
  </si>
  <si>
    <t>TC24-11</t>
  </si>
  <si>
    <t>折りたたんだ行1</t>
  </si>
  <si>
    <t>折りたたんだ行2</t>
  </si>
  <si>
    <t>折りたたんだ行3</t>
  </si>
  <si>
    <t>折りたたんだ行4</t>
  </si>
  <si>
    <t>TC24-12</t>
  </si>
  <si>
    <t>行の高さ 0 の行</t>
  </si>
  <si>
    <t>TC24-13</t>
  </si>
  <si>
    <t>ふつうの行</t>
  </si>
  <si>
    <t>TC24-14 列幅 0 の列</t>
  </si>
  <si>
    <t>日付</t>
  </si>
  <si>
    <t>支店</t>
  </si>
  <si>
    <t>商品</t>
  </si>
  <si>
    <t>金額</t>
  </si>
  <si>
    <t>TC24-15 テーブル名: 売上テーブル</t>
  </si>
  <si>
    <t>行ラベル</t>
  </si>
  <si>
    <t>(空白)</t>
  </si>
  <si>
    <t>総計</t>
  </si>
  <si>
    <t>列ラベル</t>
  </si>
  <si>
    <t>合計 / 金額</t>
  </si>
  <si>
    <t>TC24-16 ピボットテーブル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</si>
</sst>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285.396016319442" createdVersion="8" refreshedVersion="8" minRefreshableVersion="3" recordCount="12" xr:uid="{A7F4EA33-C3F9-48B8-83DA-4CFAC659EF34}">
  <cacheSource type="worksheet">
    <worksheetSource ref="A1:D13" sheet="テーブルとピボット"/>
  </cacheSource>
  <cacheFields count="4">
    <cacheField name="日付" numFmtId="14">
      <sharedItems containsSemiMixedTypes="0" containsNonDate="0" containsDate="1" containsString="0" minDate="2024-01-01T00:00:00" maxDate="2024-12-02T00:00:00"/>
    </cacheField>
    <cacheField name="支店" numFmtId="0">
      <sharedItems containsNonDate="0" containsString="0" containsBlank="1" count="1">
        <m/>
      </sharedItems>
    </cacheField>
    <cacheField name="商品" numFmtId="0">
      <sharedItems containsNonDate="0" containsString="0" containsBlank="1" count="1">
        <m/>
      </sharedItems>
    </cacheField>
    <cacheField name="金額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4-01-01T00:00:00"/>
    <x v="0"/>
    <x v="0"/>
    <m/>
  </r>
  <r>
    <d v="2024-02-01T00:00:00"/>
    <x v="0"/>
    <x v="0"/>
    <m/>
  </r>
  <r>
    <d v="2024-03-01T00:00:00"/>
    <x v="0"/>
    <x v="0"/>
    <m/>
  </r>
  <r>
    <d v="2024-04-01T00:00:00"/>
    <x v="0"/>
    <x v="0"/>
    <m/>
  </r>
  <r>
    <d v="2024-05-01T00:00:00"/>
    <x v="0"/>
    <x v="0"/>
    <m/>
  </r>
  <r>
    <d v="2024-06-01T00:00:00"/>
    <x v="0"/>
    <x v="0"/>
    <m/>
  </r>
  <r>
    <d v="2024-07-01T00:00:00"/>
    <x v="0"/>
    <x v="0"/>
    <m/>
  </r>
  <r>
    <d v="2024-08-01T00:00:00"/>
    <x v="0"/>
    <x v="0"/>
    <m/>
  </r>
  <r>
    <d v="2024-09-01T00:00:00"/>
    <x v="0"/>
    <x v="0"/>
    <m/>
  </r>
  <r>
    <d v="2024-10-01T00:00:00"/>
    <x v="0"/>
    <x v="0"/>
    <m/>
  </r>
  <r>
    <d v="2024-11-01T00:00:00"/>
    <x v="0"/>
    <x v="0"/>
    <m/>
  </r>
  <r>
    <d v="2024-12-01T00:00:0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C2EBC-FE04-477E-AB9B-6A56101E3BFE}" name="TC24ピボット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C6" firstHeaderRow="1" firstDataRow="2" firstDataCol="1"/>
  <pivotFields count="4">
    <pivotField numFmtId="14" showAll="0"/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合計 / 金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8DB89-30D4-43C6-A8FB-B1DE3DBF56E2}" name="売上テーブル" displayName="売上テーブル" ref="A1:D13" totalsRowShown="0">
  <autoFilter ref="A1:D13" xr:uid="{1018DB89-30D4-43C6-A8FB-B1DE3DBF56E2}"/>
  <tableColumns count="4">
    <tableColumn id="1" xr3:uid="{E9FCA9FF-CF7C-4444-977B-B4A251794879}" name="日付" dataDxfId="0"/>
    <tableColumn id="2" xr3:uid="{0065FF2E-B562-4371-8218-0B157232CEAD}" name="支店"/>
    <tableColumn id="3" xr3:uid="{840F3202-8D1E-45D4-8CF7-842489F306C8}" name="商品"/>
    <tableColumn id="4" xr3:uid="{887B54AE-9957-4E4D-9D30-22B0252C345A}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ADBE-401A-4E4B-A02B-90AA3D48BFB9}">
  <dimension ref="A1:G12"/>
  <sheetViews>
    <sheetView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F1">
        <v>1000</v>
      </c>
      <c r="G1">
        <v>2</v>
      </c>
    </row>
    <row r="2" spans="1:7" x14ac:dyDescent="0.4">
      <c r="A2" t="s">
        <v>4</v>
      </c>
      <c r="B2" t="s">
        <v>5</v>
      </c>
      <c r="C2">
        <f>F1*消費税率</f>
        <v>100</v>
      </c>
      <c r="D2" s="1" t="s">
        <v>18</v>
      </c>
      <c r="F2">
        <v>2000</v>
      </c>
      <c r="G2">
        <v>3</v>
      </c>
    </row>
    <row r="3" spans="1:7" x14ac:dyDescent="0.4">
      <c r="A3" t="s">
        <v>6</v>
      </c>
      <c r="B3" t="s">
        <v>7</v>
      </c>
      <c r="C3">
        <f t="array" ref="C3">SUM(F1:F2*G1:G2)</f>
        <v>8000</v>
      </c>
      <c r="D3" s="1" t="s">
        <v>19</v>
      </c>
    </row>
    <row r="4" spans="1:7" x14ac:dyDescent="0.4">
      <c r="A4" t="s">
        <v>8</v>
      </c>
      <c r="B4" t="s">
        <v>9</v>
      </c>
      <c r="C4">
        <f ca="1">C4+1</f>
        <v>0</v>
      </c>
      <c r="D4" s="1" t="s">
        <v>20</v>
      </c>
    </row>
    <row r="5" spans="1:7" x14ac:dyDescent="0.4">
      <c r="A5" t="s">
        <v>10</v>
      </c>
      <c r="B5" t="s">
        <v>11</v>
      </c>
      <c r="C5" t="e">
        <f>SUM(#REF!)</f>
        <v>#REF!</v>
      </c>
      <c r="D5" s="1" t="s">
        <v>21</v>
      </c>
    </row>
    <row r="6" spans="1:7" x14ac:dyDescent="0.4">
      <c r="A6" t="s">
        <v>12</v>
      </c>
      <c r="B6" t="s">
        <v>13</v>
      </c>
      <c r="C6" t="e">
        <f>1+"文字列"</f>
        <v>#VALUE!</v>
      </c>
      <c r="D6" s="1" t="s">
        <v>22</v>
      </c>
    </row>
    <row r="7" spans="1:7" x14ac:dyDescent="0.4">
      <c r="A7" t="s">
        <v>14</v>
      </c>
      <c r="B7" t="s">
        <v>15</v>
      </c>
      <c r="C7" t="e">
        <f>SQRT(-1)</f>
        <v>#NUM!</v>
      </c>
      <c r="D7" s="1" t="s">
        <v>23</v>
      </c>
    </row>
    <row r="8" spans="1:7" x14ac:dyDescent="0.4">
      <c r="A8" t="s">
        <v>16</v>
      </c>
      <c r="B8" t="s">
        <v>17</v>
      </c>
      <c r="C8" t="e">
        <f>SUM(F1:F2 G1:G2)</f>
        <v>#NULL!</v>
      </c>
      <c r="D8" s="1" t="s">
        <v>24</v>
      </c>
    </row>
    <row r="10" spans="1:7" x14ac:dyDescent="0.4">
      <c r="A10" t="s">
        <v>25</v>
      </c>
      <c r="B10" t="s">
        <v>26</v>
      </c>
      <c r="C10" cm="1">
        <f t="array" ref="C10:D12">_xlfn.SEQUENCE(3,2)</f>
        <v>1</v>
      </c>
      <c r="D10">
        <v>2</v>
      </c>
    </row>
    <row r="11" spans="1:7" x14ac:dyDescent="0.4">
      <c r="C11">
        <v>3</v>
      </c>
      <c r="D11">
        <v>4</v>
      </c>
    </row>
    <row r="12" spans="1:7" x14ac:dyDescent="0.4">
      <c r="C12">
        <v>5</v>
      </c>
      <c r="D12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6E00-6540-44BC-98B7-1D0E0DF0090C}">
  <sheetPr>
    <tabColor rgb="FFFF0000"/>
  </sheetPr>
  <dimension ref="A1:D8"/>
  <sheetViews>
    <sheetView workbookViewId="0"/>
  </sheetViews>
  <sheetFormatPr defaultRowHeight="18.75" outlineLevelRow="1" x14ac:dyDescent="0.4"/>
  <cols>
    <col min="4" max="4" width="0" hidden="1" customWidth="1"/>
  </cols>
  <sheetData>
    <row r="1" spans="1:4" x14ac:dyDescent="0.4">
      <c r="A1" t="s">
        <v>27</v>
      </c>
      <c r="B1" t="s">
        <v>28</v>
      </c>
      <c r="D1" t="s">
        <v>40</v>
      </c>
    </row>
    <row r="2" spans="1:4" x14ac:dyDescent="0.4">
      <c r="A2" t="s">
        <v>29</v>
      </c>
      <c r="B2" t="s">
        <v>30</v>
      </c>
    </row>
    <row r="3" spans="1:4" hidden="1" outlineLevel="1" x14ac:dyDescent="0.4">
      <c r="A3" t="s">
        <v>31</v>
      </c>
      <c r="B3" t="s">
        <v>32</v>
      </c>
    </row>
    <row r="4" spans="1:4" hidden="1" outlineLevel="1" x14ac:dyDescent="0.4">
      <c r="A4" t="s">
        <v>31</v>
      </c>
      <c r="B4" t="s">
        <v>33</v>
      </c>
    </row>
    <row r="5" spans="1:4" hidden="1" outlineLevel="1" x14ac:dyDescent="0.4">
      <c r="A5" t="s">
        <v>31</v>
      </c>
      <c r="B5" t="s">
        <v>34</v>
      </c>
    </row>
    <row r="6" spans="1:4" hidden="1" outlineLevel="1" x14ac:dyDescent="0.4">
      <c r="A6" t="s">
        <v>31</v>
      </c>
      <c r="B6" t="s">
        <v>35</v>
      </c>
    </row>
    <row r="7" spans="1:4" hidden="1" collapsed="1" x14ac:dyDescent="0.4">
      <c r="A7" t="s">
        <v>36</v>
      </c>
      <c r="B7" t="s">
        <v>37</v>
      </c>
    </row>
    <row r="8" spans="1:4" x14ac:dyDescent="0.4">
      <c r="A8" t="s">
        <v>38</v>
      </c>
      <c r="B8" t="s">
        <v>39</v>
      </c>
    </row>
  </sheetData>
  <phoneticPr fontId="1"/>
  <conditionalFormatting sqref="B2:B8">
    <cfRule type="cellIs" priority="1" stopIfTrue="1" operator="equal">
      <formula>"TC24-13"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6ED6-71AD-4ACE-961D-DC3EEF445EC5}">
  <dimension ref="A1:F13"/>
  <sheetViews>
    <sheetView workbookViewId="0"/>
  </sheetViews>
  <sheetFormatPr defaultRowHeight="18.75" x14ac:dyDescent="0.4"/>
  <sheetData>
    <row r="1" spans="1:6" x14ac:dyDescent="0.4">
      <c r="A1" t="s">
        <v>41</v>
      </c>
      <c r="B1" t="s">
        <v>42</v>
      </c>
      <c r="C1" t="s">
        <v>43</v>
      </c>
      <c r="D1" t="s">
        <v>44</v>
      </c>
      <c r="F1" t="s">
        <v>45</v>
      </c>
    </row>
    <row r="2" spans="1:6" x14ac:dyDescent="0.4">
      <c r="A2" s="2">
        <v>45292</v>
      </c>
    </row>
    <row r="3" spans="1:6" x14ac:dyDescent="0.4">
      <c r="A3" s="2">
        <v>45323</v>
      </c>
    </row>
    <row r="4" spans="1:6" x14ac:dyDescent="0.4">
      <c r="A4" s="2">
        <v>45352</v>
      </c>
    </row>
    <row r="5" spans="1:6" x14ac:dyDescent="0.4">
      <c r="A5" s="2">
        <v>45383</v>
      </c>
    </row>
    <row r="6" spans="1:6" x14ac:dyDescent="0.4">
      <c r="A6" s="2">
        <v>45413</v>
      </c>
    </row>
    <row r="7" spans="1:6" x14ac:dyDescent="0.4">
      <c r="A7" s="2">
        <v>45444</v>
      </c>
    </row>
    <row r="8" spans="1:6" x14ac:dyDescent="0.4">
      <c r="A8" s="2">
        <v>45474</v>
      </c>
    </row>
    <row r="9" spans="1:6" x14ac:dyDescent="0.4">
      <c r="A9" s="2">
        <v>45505</v>
      </c>
    </row>
    <row r="10" spans="1:6" x14ac:dyDescent="0.4">
      <c r="A10" s="2">
        <v>45536</v>
      </c>
    </row>
    <row r="11" spans="1:6" x14ac:dyDescent="0.4">
      <c r="A11" s="2">
        <v>45566</v>
      </c>
    </row>
    <row r="12" spans="1:6" x14ac:dyDescent="0.4">
      <c r="A12" s="2">
        <v>45597</v>
      </c>
    </row>
    <row r="13" spans="1:6" x14ac:dyDescent="0.4">
      <c r="A13" s="2">
        <v>45627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59F7-18B8-46CD-A7DC-75CC60FDA3CC}">
  <dimension ref="A1:C6"/>
  <sheetViews>
    <sheetView tabSelected="1" workbookViewId="0"/>
  </sheetViews>
  <sheetFormatPr defaultRowHeight="18.75" x14ac:dyDescent="0.4"/>
  <cols>
    <col min="1" max="1" width="11.375" bestFit="1" customWidth="1"/>
    <col min="2" max="2" width="11.25" bestFit="1" customWidth="1"/>
    <col min="3" max="3" width="5.5" bestFit="1" customWidth="1"/>
  </cols>
  <sheetData>
    <row r="1" spans="1:3" x14ac:dyDescent="0.4">
      <c r="A1" t="s">
        <v>51</v>
      </c>
    </row>
    <row r="3" spans="1:3" x14ac:dyDescent="0.4">
      <c r="A3" s="3" t="s">
        <v>50</v>
      </c>
      <c r="B3" s="3" t="s">
        <v>49</v>
      </c>
    </row>
    <row r="4" spans="1:3" x14ac:dyDescent="0.4">
      <c r="A4" s="3" t="s">
        <v>46</v>
      </c>
      <c r="B4" t="s">
        <v>47</v>
      </c>
      <c r="C4" t="s">
        <v>48</v>
      </c>
    </row>
    <row r="5" spans="1:3" x14ac:dyDescent="0.4">
      <c r="A5" s="4" t="s">
        <v>47</v>
      </c>
      <c r="B5" s="5"/>
      <c r="C5" s="5"/>
    </row>
    <row r="6" spans="1:3" x14ac:dyDescent="0.4">
      <c r="A6" s="4" t="s">
        <v>48</v>
      </c>
      <c r="B6" s="5"/>
      <c r="C6" s="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名前と数式</vt:lpstr>
      <vt:lpstr>アウトライン</vt:lpstr>
      <vt:lpstr>テーブルとピボット</vt:lpstr>
      <vt:lpstr>ピボット</vt:lpstr>
      <vt:lpstr>アウトライン!Print_Area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2026-09-20T00:30:12Z</dcterms:created>
  <dcterms:modified xsi:type="dcterms:W3CDTF">2026-09-20T00:30:16Z</dcterms:modified>
</cp:coreProperties>
</file>